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1e5a153ab3bda5/Área de Trabalho/"/>
    </mc:Choice>
  </mc:AlternateContent>
  <xr:revisionPtr revIDLastSave="0" documentId="8_{DE2AAE33-9BCC-4C87-BD09-6384D466A4F5}" xr6:coauthVersionLast="47" xr6:coauthVersionMax="47" xr10:uidLastSave="{00000000-0000-0000-0000-000000000000}"/>
  <bookViews>
    <workbookView xWindow="-108" yWindow="-108" windowWidth="23256" windowHeight="1317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Auto_Renewal">#N/A</definedName>
    <definedName name="SegmentaçãodeDados_Plan">#N/A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" i="2" l="1"/>
  <c r="N2" i="2"/>
  <c r="N3" i="2"/>
  <c r="N4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G42" i="3"/>
  <c r="G32" i="3"/>
  <c r="G22" i="3"/>
</calcChain>
</file>

<file path=xl/sharedStrings.xml><?xml version="1.0" encoding="utf-8"?>
<sst xmlns="http://schemas.openxmlformats.org/spreadsheetml/2006/main" count="2059" uniqueCount="346">
  <si>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</si>
  <si>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</si>
  <si>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</si>
  <si>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</si>
  <si>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</si>
  <si>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</si>
  <si>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</si>
  <si>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</si>
  <si>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</si>
  <si>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</si>
  <si>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</si>
  <si>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</si>
  <si>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</si>
  <si>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</si>
  <si>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</si>
  <si>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</si>
  <si>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</si>
  <si>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</si>
  <si>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</si>
  <si>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</si>
  <si>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</si>
  <si>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</si>
  <si>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</si>
  <si>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</si>
  <si>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</si>
  <si>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</si>
  <si>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</si>
  <si>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</si>
  <si>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</si>
  <si>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</si>
  <si>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</si>
  <si>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</si>
  <si>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</si>
  <si>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</si>
  <si>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</si>
  <si>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</si>
  <si>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</si>
  <si>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</si>
  <si>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</si>
  <si>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</si>
  <si>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</si>
  <si>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</si>
  <si>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</si>
  <si>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</si>
  <si>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</si>
  <si>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</si>
  <si>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</si>
  <si>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</si>
  <si>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</si>
  <si>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</si>
  <si>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</si>
  <si>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</si>
  <si>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</si>
  <si>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</si>
  <si>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</si>
  <si>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</si>
  <si>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</si>
  <si>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</si>
  <si>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</si>
  <si>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</si>
  <si>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</si>
  <si>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</si>
  <si>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</si>
  <si>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</si>
  <si>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</si>
  <si>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</si>
  <si>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</si>
  <si>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</si>
  <si>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</si>
  <si>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</si>
  <si>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</si>
  <si>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</si>
  <si>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</si>
  <si>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</si>
  <si>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</si>
  <si>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</si>
  <si>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</si>
  <si>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</si>
  <si>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</si>
  <si>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</si>
  <si>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</si>
  <si>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</si>
  <si>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</si>
  <si>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</si>
  <si>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</si>
  <si>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</si>
  <si>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</si>
  <si>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</si>
  <si>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</si>
  <si>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</si>
  <si>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</si>
  <si>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</si>
  <si>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</si>
  <si>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</si>
  <si>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</si>
  <si>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</si>
  <si>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</si>
  <si>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</si>
  <si>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</si>
  <si>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</si>
  <si>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</si>
  <si>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</si>
  <si>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</si>
  <si>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</si>
  <si>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</si>
  <si>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</si>
  <si>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</si>
  <si>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</si>
  <si>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</si>
  <si>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</si>
  <si>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</si>
  <si>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</si>
  <si>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</si>
  <si>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</si>
  <si>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</si>
  <si>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</si>
  <si>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</si>
  <si>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</si>
  <si>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</si>
  <si>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</si>
  <si>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</si>
  <si>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</si>
  <si>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</si>
  <si>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</si>
  <si>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</si>
  <si>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</si>
  <si>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</si>
  <si>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</si>
  <si>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</si>
  <si>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</si>
  <si>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</si>
  <si>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</si>
  <si>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</si>
  <si>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</si>
  <si>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</si>
  <si>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</si>
  <si>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</si>
  <si>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</si>
  <si>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</si>
  <si>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</si>
  <si>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</si>
  <si>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</si>
  <si>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</si>
  <si>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</si>
  <si>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</si>
  <si>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</si>
  <si>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</si>
  <si>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</si>
  <si>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</si>
  <si>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</si>
  <si>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</si>
  <si>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</si>
  <si>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</si>
  <si>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</si>
  <si>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</si>
  <si>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</si>
  <si>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</si>
  <si>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</si>
  <si>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</si>
  <si>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</si>
  <si>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</si>
  <si>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</si>
  <si>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</si>
  <si>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</si>
  <si>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</si>
  <si>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</si>
  <si>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</si>
  <si>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</si>
  <si>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</si>
  <si>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</si>
  <si>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</si>
  <si>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</si>
  <si>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</si>
  <si>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</si>
  <si>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</si>
  <si>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</si>
  <si>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</si>
  <si>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</si>
  <si>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</si>
  <si>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</si>
  <si>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</si>
  <si>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</si>
  <si>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</si>
  <si>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</si>
  <si>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</si>
  <si>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</si>
  <si>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</si>
  <si>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</si>
  <si>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</si>
  <si>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</si>
  <si>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</si>
  <si>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</si>
  <si>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</si>
  <si>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</si>
  <si>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</si>
  <si>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</si>
  <si>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</si>
  <si>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</si>
  <si>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</si>
  <si>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</si>
  <si>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</si>
  <si>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</si>
  <si>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</si>
  <si>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</si>
  <si>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</si>
  <si>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</si>
  <si>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</si>
  <si>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</si>
  <si>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</si>
  <si>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</si>
  <si>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</si>
  <si>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</si>
  <si>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</si>
  <si>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</si>
  <si>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</si>
  <si>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</si>
  <si>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</si>
  <si>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</si>
  <si>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</si>
  <si>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</si>
  <si>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</si>
  <si>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</si>
  <si>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</si>
  <si>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</si>
  <si>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</si>
  <si>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</si>
  <si>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</si>
  <si>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</si>
  <si>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</si>
  <si>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</si>
  <si>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</si>
  <si>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</si>
  <si>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</si>
  <si>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</si>
  <si>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</si>
  <si>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</si>
  <si>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</si>
  <si>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</si>
  <si>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</si>
  <si>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</si>
  <si>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</si>
  <si>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</si>
  <si>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</si>
  <si>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</si>
  <si>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</si>
  <si>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</si>
  <si>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</si>
  <si>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</si>
  <si>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</si>
  <si>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</si>
  <si>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</si>
  <si>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</si>
  <si>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</si>
  <si>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</si>
  <si>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</si>
  <si>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</si>
  <si>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</si>
  <si>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</si>
  <si>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</si>
  <si>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</si>
  <si>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</si>
  <si>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</si>
  <si>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</si>
  <si>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</si>
  <si>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</si>
  <si>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</si>
  <si>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</si>
  <si>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</si>
  <si>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</si>
  <si>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</si>
  <si>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</si>
  <si>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</si>
  <si>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</si>
  <si>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</si>
  <si>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</si>
  <si>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</si>
  <si>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</si>
  <si>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</si>
  <si>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</si>
  <si>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</si>
  <si>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</si>
  <si>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</si>
  <si>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</si>
  <si>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</si>
  <si>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</si>
  <si>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</si>
  <si>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</si>
  <si>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</si>
  <si>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</si>
  <si>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</si>
  <si>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</si>
  <si>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</si>
  <si>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</si>
  <si>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</si>
  <si>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</si>
  <si>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</si>
  <si>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</si>
  <si>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</si>
  <si>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</si>
  <si>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</si>
  <si>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</si>
  <si>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</si>
  <si>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</si>
  <si>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</si>
  <si>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</si>
  <si>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</si>
  <si>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</si>
  <si>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</si>
  <si>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</si>
  <si>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</si>
  <si>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</si>
  <si>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</si>
  <si>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</si>
  <si>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</si>
  <si>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</si>
  <si>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</si>
  <si>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</si>
  <si>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>Rótulos de Linha</t>
  </si>
  <si>
    <t>Total Geral</t>
  </si>
  <si>
    <t>(Tudo)</t>
  </si>
  <si>
    <t>Soma de Total Value</t>
  </si>
  <si>
    <t>Soma de EA Play Season Pass</t>
  </si>
  <si>
    <t>Soma de Minecraft Season Pass Price</t>
  </si>
  <si>
    <t>Contagem de Subscriber ID</t>
  </si>
  <si>
    <t>Status</t>
  </si>
  <si>
    <t>Meses (Start Date)</t>
  </si>
  <si>
    <t>Quantas assinaturas foram iniciadas por tipo de plano em determinado período?</t>
  </si>
  <si>
    <t>Média de Total Value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</si>
  <si>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</si>
  <si>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</si>
  <si>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</si>
  <si>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</si>
  <si>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</si>
  <si>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</si>
  <si>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</si>
  <si>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</si>
  <si>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</si>
  <si>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</si>
  <si>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</si>
  <si>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Rótulos de Coluna</t>
  </si>
  <si>
    <t>Qual o ticket médio por tipo de plano em cada mês?</t>
  </si>
  <si>
    <t>&gt; BEM VINDO, MARCOS</t>
  </si>
  <si>
    <t>Calculate period:</t>
  </si>
  <si>
    <t>01/01/2024 - 31/12/2024</t>
  </si>
  <si>
    <t>XBOX GAME PASS SUBSCRIPTIONS SALES</t>
  </si>
  <si>
    <t>Update date: 15/11/2025  10:02:00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</si>
</sst>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#,##0.00_ ;\-#,##0.00\ "/>
    <numFmt numFmtId="166" formatCode="&quot;R$&quot;\ #,##0.00"/>
  </numFmts>
  <fonts count="10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0"/>
      <name val="Segoe UI"/>
      <family val="2"/>
    </font>
    <font>
      <sz val="9"/>
      <color theme="0"/>
      <name val="Aptos Narrow"/>
      <family val="2"/>
      <scheme val="minor"/>
    </font>
    <font>
      <sz val="9"/>
      <color theme="0"/>
      <name val="Segoe UI"/>
      <family val="2"/>
    </font>
    <font>
      <b/>
      <sz val="11"/>
      <color rgb="FF22C55E"/>
      <name val="Seogi UI"/>
    </font>
    <font>
      <b/>
      <sz val="15"/>
      <color rgb="FF22C55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22C45E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4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0" fillId="8" borderId="0" xfId="0" applyFill="1"/>
    <xf numFmtId="0" fontId="4" fillId="9" borderId="0" xfId="0" applyFont="1" applyFill="1"/>
    <xf numFmtId="0" fontId="6" fillId="8" borderId="0" xfId="0" applyFont="1" applyFill="1"/>
    <xf numFmtId="0" fontId="7" fillId="8" borderId="0" xfId="0" applyFont="1" applyFill="1" applyAlignment="1">
      <alignment horizontal="left" vertical="center"/>
    </xf>
    <xf numFmtId="14" fontId="7" fillId="8" borderId="0" xfId="0" applyNumberFormat="1" applyFont="1" applyFill="1" applyAlignment="1">
      <alignment horizontal="left" vertical="center"/>
    </xf>
    <xf numFmtId="22" fontId="7" fillId="8" borderId="0" xfId="0" applyNumberFormat="1" applyFont="1" applyFill="1" applyAlignment="1">
      <alignment horizontal="left" vertical="center"/>
    </xf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8" fillId="0" borderId="0" xfId="0" applyFont="1" applyAlignment="1">
      <alignment vertical="center"/>
    </xf>
    <xf numFmtId="0" fontId="8" fillId="9" borderId="0" xfId="0" applyFont="1" applyFill="1" applyAlignment="1">
      <alignment vertical="center"/>
    </xf>
    <xf numFmtId="0" fontId="9" fillId="0" borderId="2" xfId="1" applyFont="1" applyBorder="1" applyAlignment="1">
      <alignment vertical="center"/>
    </xf>
    <xf numFmtId="0" fontId="9" fillId="9" borderId="2" xfId="1" applyFont="1" applyFill="1" applyBorder="1" applyAlignment="1">
      <alignment vertical="center"/>
    </xf>
    <xf numFmtId="0" fontId="9" fillId="9" borderId="2" xfId="1" applyFont="1" applyFill="1" applyBorder="1"/>
    <xf numFmtId="0" fontId="5" fillId="8" borderId="0" xfId="0" applyFont="1" applyFill="1" applyAlignment="1">
      <alignment horizontal="center" vertical="top"/>
    </xf>
    <xf numFmtId="166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20">
    <dxf>
      <alignment vertical="bottom"/>
    </dxf>
    <dxf>
      <alignment vertical="bottom"/>
    </dxf>
    <dxf>
      <alignment horizontal="center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78F539F6-DD3F-4F98-BA23-B196FDC26314}">
      <tableStyleElement type="wholeTable" dxfId="4"/>
      <tableStyleElement type="headerRow" dxfId="3"/>
    </tableStyle>
  </tableStyles>
  <colors>
    <mruColors>
      <color rgb="FF22C55E"/>
      <color rgb="FFE8E6E9"/>
      <color rgb="FF22C45E"/>
      <color rgb="FF5BF6A8"/>
      <color rgb="FF000000"/>
      <color rgb="FFE0E0E0"/>
      <color rgb="FFEDEDED"/>
      <color rgb="FFF7F8FC"/>
      <color rgb="FF2AE6B1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[dashboard_xbox.xlsx]C̳álculos!tbl_annual_total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</c:pivotFmt>
      <c:pivotFmt>
        <c:idx val="2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</c:dPt>
          <c:cat>
            <c:strRef>
              <c:f>C̳álculos!$C$9:$C$11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C̳álculos!$D$9:$D$11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1B-4B0A-8170-6035238CF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8385407"/>
        <c:axId val="478376767"/>
      </c:barChart>
      <c:catAx>
        <c:axId val="478385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8376767"/>
        <c:crosses val="autoZero"/>
        <c:auto val="1"/>
        <c:lblAlgn val="ctr"/>
        <c:lblOffset val="100"/>
        <c:noMultiLvlLbl val="0"/>
      </c:catAx>
      <c:valAx>
        <c:axId val="47837676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7838540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[dashboard_xbox.xlsx]C̳álculos!Tabela dinâmica6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C̳álculos!$D$60:$D$61</c:f>
              <c:strCache>
                <c:ptCount val="1"/>
                <c:pt idx="0">
                  <c:v>Annual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C̳álculos!$C$62:$C$73</c:f>
              <c:strCache>
                <c:ptCount val="11"/>
                <c:pt idx="0">
                  <c:v>jan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C̳álculos!$D$62:$D$73</c:f>
              <c:numCache>
                <c:formatCode>#,##0.00_ ;\-#,##0.00\ </c:formatCode>
                <c:ptCount val="11"/>
                <c:pt idx="1">
                  <c:v>45</c:v>
                </c:pt>
                <c:pt idx="2">
                  <c:v>61</c:v>
                </c:pt>
                <c:pt idx="4">
                  <c:v>60</c:v>
                </c:pt>
                <c:pt idx="5">
                  <c:v>61</c:v>
                </c:pt>
                <c:pt idx="6">
                  <c:v>60.666666666666664</c:v>
                </c:pt>
                <c:pt idx="7">
                  <c:v>61</c:v>
                </c:pt>
                <c:pt idx="8">
                  <c:v>61</c:v>
                </c:pt>
                <c:pt idx="9">
                  <c:v>61.333333333333336</c:v>
                </c:pt>
                <c:pt idx="1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C-43DF-9399-8293E364F9EE}"/>
            </c:ext>
          </c:extLst>
        </c:ser>
        <c:ser>
          <c:idx val="1"/>
          <c:order val="1"/>
          <c:tx>
            <c:strRef>
              <c:f>C̳álculos!$E$60:$E$61</c:f>
              <c:strCache>
                <c:ptCount val="1"/>
                <c:pt idx="0">
                  <c:v>Monthly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C̳álculos!$C$62:$C$73</c:f>
              <c:strCache>
                <c:ptCount val="11"/>
                <c:pt idx="0">
                  <c:v>jan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C̳álculos!$E$62:$E$73</c:f>
              <c:numCache>
                <c:formatCode>#,##0.00_ ;\-#,##0.00\ </c:formatCode>
                <c:ptCount val="11"/>
                <c:pt idx="0">
                  <c:v>60</c:v>
                </c:pt>
                <c:pt idx="2">
                  <c:v>50</c:v>
                </c:pt>
                <c:pt idx="3">
                  <c:v>55.666666666666664</c:v>
                </c:pt>
                <c:pt idx="4">
                  <c:v>54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5C-43DF-9399-8293E364F9EE}"/>
            </c:ext>
          </c:extLst>
        </c:ser>
        <c:ser>
          <c:idx val="2"/>
          <c:order val="2"/>
          <c:tx>
            <c:strRef>
              <c:f>C̳álculos!$F$60:$F$61</c:f>
              <c:strCache>
                <c:ptCount val="1"/>
                <c:pt idx="0">
                  <c:v>Quarterly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C̳álculos!$C$62:$C$73</c:f>
              <c:strCache>
                <c:ptCount val="11"/>
                <c:pt idx="0">
                  <c:v>jan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C̳álculos!$F$62:$F$73</c:f>
              <c:numCache>
                <c:formatCode>#,##0.00_ ;\-#,##0.00\ </c:formatCode>
                <c:ptCount val="11"/>
                <c:pt idx="1">
                  <c:v>57</c:v>
                </c:pt>
                <c:pt idx="2">
                  <c:v>51.5</c:v>
                </c:pt>
                <c:pt idx="3">
                  <c:v>51.5</c:v>
                </c:pt>
                <c:pt idx="4">
                  <c:v>51.5</c:v>
                </c:pt>
                <c:pt idx="5">
                  <c:v>58</c:v>
                </c:pt>
                <c:pt idx="6">
                  <c:v>58</c:v>
                </c:pt>
                <c:pt idx="7">
                  <c:v>58</c:v>
                </c:pt>
                <c:pt idx="8">
                  <c:v>58</c:v>
                </c:pt>
                <c:pt idx="9">
                  <c:v>58</c:v>
                </c:pt>
                <c:pt idx="1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5C-43DF-9399-8293E364F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[dashboard_xbox.xlsx]C̳álculos!tbl_annual_total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</c:pivotFmt>
      <c:pivotFmt>
        <c:idx val="2"/>
        <c:spPr>
          <a:solidFill>
            <a:srgbClr val="22C55E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  <c:pivotFmt>
        <c:idx val="5"/>
        <c:spPr>
          <a:solidFill>
            <a:srgbClr val="22C55E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468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  <c:pivotFmt>
        <c:idx val="8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468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5.8175389001125538E-2"/>
          <c:y val="0.19508707663767544"/>
          <c:w val="0.94182459904880844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C0-43DC-82C8-99EFFBF8877C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5C0-43DC-82C8-99EFFBF887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468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C̳álculos!$C$9:$C$11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C̳álculos!$D$9:$D$11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C0-43DC-82C8-99EFFBF88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8385407"/>
        <c:axId val="478376767"/>
      </c:barChart>
      <c:catAx>
        <c:axId val="478385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8376767"/>
        <c:crosses val="autoZero"/>
        <c:auto val="1"/>
        <c:lblAlgn val="ctr"/>
        <c:lblOffset val="100"/>
        <c:noMultiLvlLbl val="0"/>
      </c:catAx>
      <c:valAx>
        <c:axId val="47837676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7838540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[dashboard_xbox.xlsx]C̳álculos!Tabela dinâmica6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C̳álculos!$D$60:$D$61</c:f>
              <c:strCache>
                <c:ptCount val="1"/>
                <c:pt idx="0">
                  <c:v>Annual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5C-4B0C-A933-B11CFC6CEC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5C-4B0C-A933-B11CFC6CEC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A5C-4B0C-A933-B11CFC6CEC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A5C-4B0C-A933-B11CFC6CEC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A5C-4B0C-A933-B11CFC6CECD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A5C-4B0C-A933-B11CFC6CECD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A5C-4B0C-A933-B11CFC6CECD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A5C-4B0C-A933-B11CFC6CECD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A5C-4B0C-A933-B11CFC6CECD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A5C-4B0C-A933-B11CFC6CECD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C̳álculos!$C$62:$C$73</c:f>
              <c:strCache>
                <c:ptCount val="11"/>
                <c:pt idx="0">
                  <c:v>jan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C̳álculos!$D$62:$D$73</c:f>
              <c:numCache>
                <c:formatCode>#,##0.00_ ;\-#,##0.00\ </c:formatCode>
                <c:ptCount val="11"/>
                <c:pt idx="1">
                  <c:v>45</c:v>
                </c:pt>
                <c:pt idx="2">
                  <c:v>61</c:v>
                </c:pt>
                <c:pt idx="4">
                  <c:v>60</c:v>
                </c:pt>
                <c:pt idx="5">
                  <c:v>61</c:v>
                </c:pt>
                <c:pt idx="6">
                  <c:v>60.666666666666664</c:v>
                </c:pt>
                <c:pt idx="7">
                  <c:v>61</c:v>
                </c:pt>
                <c:pt idx="8">
                  <c:v>61</c:v>
                </c:pt>
                <c:pt idx="9">
                  <c:v>61.333333333333336</c:v>
                </c:pt>
                <c:pt idx="1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A5C-4B0C-A933-B11CFC6CECDC}"/>
            </c:ext>
          </c:extLst>
        </c:ser>
        <c:ser>
          <c:idx val="1"/>
          <c:order val="1"/>
          <c:tx>
            <c:strRef>
              <c:f>C̳álculos!$E$60:$E$61</c:f>
              <c:strCache>
                <c:ptCount val="1"/>
                <c:pt idx="0">
                  <c:v>Monthly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AA5C-4B0C-A933-B11CFC6CEC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AA5C-4B0C-A933-B11CFC6CEC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AA5C-4B0C-A933-B11CFC6CEC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AA5C-4B0C-A933-B11CFC6CEC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AA5C-4B0C-A933-B11CFC6CECD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AA5C-4B0C-A933-B11CFC6CECD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AA5C-4B0C-A933-B11CFC6CECD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AA5C-4B0C-A933-B11CFC6CECD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AA5C-4B0C-A933-B11CFC6CECD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AA5C-4B0C-A933-B11CFC6CECD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C̳álculos!$C$62:$C$73</c:f>
              <c:strCache>
                <c:ptCount val="11"/>
                <c:pt idx="0">
                  <c:v>jan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C̳álculos!$E$62:$E$73</c:f>
              <c:numCache>
                <c:formatCode>#,##0.00_ ;\-#,##0.00\ </c:formatCode>
                <c:ptCount val="11"/>
                <c:pt idx="0">
                  <c:v>60</c:v>
                </c:pt>
                <c:pt idx="2">
                  <c:v>50</c:v>
                </c:pt>
                <c:pt idx="3">
                  <c:v>55.666666666666664</c:v>
                </c:pt>
                <c:pt idx="4">
                  <c:v>54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AA5C-4B0C-A933-B11CFC6CECDC}"/>
            </c:ext>
          </c:extLst>
        </c:ser>
        <c:ser>
          <c:idx val="2"/>
          <c:order val="2"/>
          <c:tx>
            <c:strRef>
              <c:f>C̳álculos!$F$60:$F$61</c:f>
              <c:strCache>
                <c:ptCount val="1"/>
                <c:pt idx="0">
                  <c:v>Quarterly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AA5C-4B0C-A933-B11CFC6CEC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AA5C-4B0C-A933-B11CFC6CEC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AA5C-4B0C-A933-B11CFC6CEC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AA5C-4B0C-A933-B11CFC6CEC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AA5C-4B0C-A933-B11CFC6CECD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AA5C-4B0C-A933-B11CFC6CECD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AA5C-4B0C-A933-B11CFC6CECD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AA5C-4B0C-A933-B11CFC6CECD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AA5C-4B0C-A933-B11CFC6CECD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AA5C-4B0C-A933-B11CFC6CECD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C̳álculos!$C$62:$C$73</c:f>
              <c:strCache>
                <c:ptCount val="11"/>
                <c:pt idx="0">
                  <c:v>jan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C̳álculos!$F$62:$F$73</c:f>
              <c:numCache>
                <c:formatCode>#,##0.00_ ;\-#,##0.00\ </c:formatCode>
                <c:ptCount val="11"/>
                <c:pt idx="1">
                  <c:v>57</c:v>
                </c:pt>
                <c:pt idx="2">
                  <c:v>51.5</c:v>
                </c:pt>
                <c:pt idx="3">
                  <c:v>51.5</c:v>
                </c:pt>
                <c:pt idx="4">
                  <c:v>51.5</c:v>
                </c:pt>
                <c:pt idx="5">
                  <c:v>58</c:v>
                </c:pt>
                <c:pt idx="6">
                  <c:v>58</c:v>
                </c:pt>
                <c:pt idx="7">
                  <c:v>58</c:v>
                </c:pt>
                <c:pt idx="8">
                  <c:v>58</c:v>
                </c:pt>
                <c:pt idx="9">
                  <c:v>58</c:v>
                </c:pt>
                <c:pt idx="1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AA5C-4B0C-A933-B11CFC6CE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image" Target="../media/image11.png"/><Relationship Id="rId7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6.png"/><Relationship Id="rId6" Type="http://schemas.openxmlformats.org/officeDocument/2006/relationships/image" Target="../media/image7.png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27</xdr:row>
      <xdr:rowOff>160020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189095"/>
          <a:ext cx="1219200" cy="1076325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137160</xdr:colOff>
      <xdr:row>7</xdr:row>
      <xdr:rowOff>99061</xdr:rowOff>
    </xdr:from>
    <xdr:to>
      <xdr:col>7</xdr:col>
      <xdr:colOff>160020</xdr:colOff>
      <xdr:row>14</xdr:row>
      <xdr:rowOff>167641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ubscription Type">
              <a:extLst>
                <a:ext uri="{FF2B5EF4-FFF2-40B4-BE49-F238E27FC236}">
                  <a16:creationId xmlns:a16="http://schemas.microsoft.com/office/drawing/2014/main" id="{FCA7F5CD-D680-5AFF-5E96-1095DA28B1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16780" y="1379221"/>
              <a:ext cx="1828800" cy="1348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160020</xdr:colOff>
      <xdr:row>6</xdr:row>
      <xdr:rowOff>148590</xdr:rowOff>
    </xdr:from>
    <xdr:to>
      <xdr:col>23</xdr:col>
      <xdr:colOff>274320</xdr:colOff>
      <xdr:row>21</xdr:row>
      <xdr:rowOff>148590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B46AD5-65FC-7485-92F5-69BBFF287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297180</xdr:colOff>
      <xdr:row>60</xdr:row>
      <xdr:rowOff>167641</xdr:rowOff>
    </xdr:from>
    <xdr:to>
      <xdr:col>12</xdr:col>
      <xdr:colOff>106680</xdr:colOff>
      <xdr:row>67</xdr:row>
      <xdr:rowOff>114301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Plan">
              <a:extLst>
                <a:ext uri="{FF2B5EF4-FFF2-40B4-BE49-F238E27FC236}">
                  <a16:creationId xmlns:a16="http://schemas.microsoft.com/office/drawing/2014/main" id="{C16A7697-7FCE-0B3E-BC36-E11E903BFF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82740" y="11140441"/>
              <a:ext cx="1813560" cy="1226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281940</xdr:colOff>
      <xdr:row>55</xdr:row>
      <xdr:rowOff>38101</xdr:rowOff>
    </xdr:from>
    <xdr:to>
      <xdr:col>12</xdr:col>
      <xdr:colOff>91440</xdr:colOff>
      <xdr:row>60</xdr:row>
      <xdr:rowOff>60961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Auto Renewal">
              <a:extLst>
                <a:ext uri="{FF2B5EF4-FFF2-40B4-BE49-F238E27FC236}">
                  <a16:creationId xmlns:a16="http://schemas.microsoft.com/office/drawing/2014/main" id="{F259F1E4-7FC5-0FA6-DAD7-4D7F1364A0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00" y="10096501"/>
              <a:ext cx="1813560" cy="937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438150</xdr:colOff>
      <xdr:row>75</xdr:row>
      <xdr:rowOff>160020</xdr:rowOff>
    </xdr:from>
    <xdr:to>
      <xdr:col>9</xdr:col>
      <xdr:colOff>601980</xdr:colOff>
      <xdr:row>97</xdr:row>
      <xdr:rowOff>129540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8747C13-685B-E031-EB2E-876E131AC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485775</xdr:colOff>
      <xdr:row>0</xdr:row>
      <xdr:rowOff>133349</xdr:rowOff>
    </xdr:from>
    <xdr:to>
      <xdr:col>0</xdr:col>
      <xdr:colOff>1266825</xdr:colOff>
      <xdr:row>2</xdr:row>
      <xdr:rowOff>66675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8674A987-8E5C-4BE2-AC39-5CCC2F347919}"/>
            </a:ext>
          </a:extLst>
        </xdr:cNvPr>
        <xdr:cNvSpPr/>
      </xdr:nvSpPr>
      <xdr:spPr>
        <a:xfrm>
          <a:off x="485775" y="133349"/>
          <a:ext cx="781050" cy="676276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 kern="1200"/>
        </a:p>
      </xdr:txBody>
    </xdr:sp>
    <xdr:clientData/>
  </xdr:twoCellAnchor>
  <xdr:twoCellAnchor editAs="absolute">
    <xdr:from>
      <xdr:col>0</xdr:col>
      <xdr:colOff>123825</xdr:colOff>
      <xdr:row>10</xdr:row>
      <xdr:rowOff>104776</xdr:rowOff>
    </xdr:from>
    <xdr:to>
      <xdr:col>0</xdr:col>
      <xdr:colOff>1638300</xdr:colOff>
      <xdr:row>17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 1">
              <a:extLst>
                <a:ext uri="{FF2B5EF4-FFF2-40B4-BE49-F238E27FC236}">
                  <a16:creationId xmlns:a16="http://schemas.microsoft.com/office/drawing/2014/main" id="{3B43EA20-E99B-490E-AD92-9CA5EE906B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2295526"/>
              <a:ext cx="1514475" cy="12858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oneCellAnchor>
    <xdr:from>
      <xdr:col>15</xdr:col>
      <xdr:colOff>571500</xdr:colOff>
      <xdr:row>3</xdr:row>
      <xdr:rowOff>47625</xdr:rowOff>
    </xdr:from>
    <xdr:ext cx="184731" cy="26456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BD153724-2D31-F3F1-DDBA-8B7CFE827577}"/>
            </a:ext>
          </a:extLst>
        </xdr:cNvPr>
        <xdr:cNvSpPr txBox="1"/>
      </xdr:nvSpPr>
      <xdr:spPr>
        <a:xfrm>
          <a:off x="10687050" y="103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</xdr:col>
      <xdr:colOff>285750</xdr:colOff>
      <xdr:row>25</xdr:row>
      <xdr:rowOff>85724</xdr:rowOff>
    </xdr:from>
    <xdr:to>
      <xdr:col>20</xdr:col>
      <xdr:colOff>397865</xdr:colOff>
      <xdr:row>47</xdr:row>
      <xdr:rowOff>46147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9252F37C-6DD7-A941-3DDA-24C9AA2C1CD6}"/>
            </a:ext>
          </a:extLst>
        </xdr:cNvPr>
        <xdr:cNvGrpSpPr/>
      </xdr:nvGrpSpPr>
      <xdr:grpSpPr>
        <a:xfrm>
          <a:off x="2019300" y="4991099"/>
          <a:ext cx="11542115" cy="3941873"/>
          <a:chOff x="1866900" y="3810000"/>
          <a:chExt cx="4943475" cy="2981325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153F2F8D-A6A4-A86A-D426-FAD897F1D679}"/>
              </a:ext>
            </a:extLst>
          </xdr:cNvPr>
          <xdr:cNvGrpSpPr/>
        </xdr:nvGrpSpPr>
        <xdr:grpSpPr>
          <a:xfrm>
            <a:off x="1876425" y="3810000"/>
            <a:ext cx="4933950" cy="2981325"/>
            <a:chOff x="2019300" y="1876425"/>
            <a:chExt cx="4886325" cy="2981325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48F53F9F-5090-A909-343E-D9AA45F38D8F}"/>
                </a:ext>
              </a:extLst>
            </xdr:cNvPr>
            <xdr:cNvSpPr/>
          </xdr:nvSpPr>
          <xdr:spPr>
            <a:xfrm>
              <a:off x="2019300" y="1876425"/>
              <a:ext cx="4886325" cy="2981325"/>
            </a:xfrm>
            <a:prstGeom prst="round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>
                  <a:noFill/>
                </a:ln>
              </a:endParaRPr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F16EEA33-CBC0-48F2-8C9E-E9900894D276}"/>
                </a:ext>
              </a:extLst>
            </xdr:cNvPr>
            <xdr:cNvGraphicFramePr>
              <a:graphicFrameLocks/>
            </xdr:cNvGraphicFramePr>
          </xdr:nvGraphicFramePr>
          <xdr:xfrm>
            <a:off x="2195468" y="2179057"/>
            <a:ext cx="4690883" cy="25717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21090690-DD45-3085-6B59-3149158F8060}"/>
              </a:ext>
            </a:extLst>
          </xdr:cNvPr>
          <xdr:cNvSpPr/>
        </xdr:nvSpPr>
        <xdr:spPr>
          <a:xfrm>
            <a:off x="1866900" y="3810000"/>
            <a:ext cx="4943475" cy="4191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n>
                  <a:noFill/>
                </a:ln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n>
                  <a:noFill/>
                </a:ln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100" b="1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276227</xdr:colOff>
      <xdr:row>14</xdr:row>
      <xdr:rowOff>52387</xdr:rowOff>
    </xdr:from>
    <xdr:to>
      <xdr:col>9</xdr:col>
      <xdr:colOff>152400</xdr:colOff>
      <xdr:row>22</xdr:row>
      <xdr:rowOff>123825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E990AFEE-A78F-3DE8-874C-0961962F5FA1}"/>
            </a:ext>
          </a:extLst>
        </xdr:cNvPr>
        <xdr:cNvGrpSpPr/>
      </xdr:nvGrpSpPr>
      <xdr:grpSpPr>
        <a:xfrm>
          <a:off x="2009777" y="2967037"/>
          <a:ext cx="4762498" cy="1519238"/>
          <a:chOff x="5657850" y="1133475"/>
          <a:chExt cx="3286125" cy="781050"/>
        </a:xfrm>
      </xdr:grpSpPr>
      <xdr:sp macro="" textlink="C̳álculos!G32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77369CE2-0CD8-4D35-8F93-14D1F27D8566}"/>
              </a:ext>
            </a:extLst>
          </xdr:cNvPr>
          <xdr:cNvSpPr/>
        </xdr:nvSpPr>
        <xdr:spPr>
          <a:xfrm>
            <a:off x="5657850" y="1343025"/>
            <a:ext cx="3276600" cy="571500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4013281-3CCD-482B-B860-95708553B8CC}" type="TxLink">
              <a:rPr lang="en-US" sz="3600" b="1" i="0" u="none" strike="noStrike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R$ 1.140,00</a:t>
            </a:fld>
            <a:endParaRPr lang="pt-BR" sz="36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A4282164-7D19-4637-B1A9-CC6B9743787D}"/>
              </a:ext>
            </a:extLst>
          </xdr:cNvPr>
          <xdr:cNvSpPr/>
        </xdr:nvSpPr>
        <xdr:spPr>
          <a:xfrm>
            <a:off x="5657850" y="1133475"/>
            <a:ext cx="3286125" cy="285750"/>
          </a:xfrm>
          <a:prstGeom prst="round2Same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rgbClr val="22C55E"/>
                </a:solidFill>
                <a:effectLst/>
                <a:latin typeface="+mn-lt"/>
                <a:ea typeface="+mn-ea"/>
                <a:cs typeface="+mn-cs"/>
              </a:rPr>
              <a:t>TOTAL </a:t>
            </a:r>
            <a:r>
              <a:rPr lang="pt-BR" sz="1100" b="1">
                <a:solidFill>
                  <a:srgbClr val="22C55E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SUBSCRIPTIONS</a:t>
            </a:r>
            <a:r>
              <a:rPr lang="pt-BR" sz="1100" b="1">
                <a:solidFill>
                  <a:srgbClr val="22C55E"/>
                </a:solidFill>
                <a:effectLst/>
                <a:latin typeface="+mn-lt"/>
                <a:ea typeface="+mn-ea"/>
                <a:cs typeface="+mn-cs"/>
              </a:rPr>
              <a:t> MINECRAFT</a:t>
            </a:r>
            <a:r>
              <a:rPr lang="pt-BR" sz="1100" b="1" baseline="0">
                <a:solidFill>
                  <a:srgbClr val="22C55E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pt-BR" sz="1100" b="1">
                <a:solidFill>
                  <a:srgbClr val="22C55E"/>
                </a:solidFill>
                <a:effectLst/>
                <a:latin typeface="+mn-lt"/>
                <a:ea typeface="+mn-ea"/>
                <a:cs typeface="+mn-cs"/>
              </a:rPr>
              <a:t> SEASON PASS</a:t>
            </a:r>
            <a:endParaRPr lang="pt-BR">
              <a:solidFill>
                <a:srgbClr val="22C55E"/>
              </a:solidFill>
              <a:effectLst/>
            </a:endParaRPr>
          </a:p>
          <a:p>
            <a:pPr algn="ctr"/>
            <a:endParaRPr lang="pt-BR" sz="1100">
              <a:solidFill>
                <a:srgbClr val="22C55E"/>
              </a:solidFill>
            </a:endParaRPr>
          </a:p>
        </xdr:txBody>
      </xdr:sp>
    </xdr:grpSp>
    <xdr:clientData/>
  </xdr:twoCellAnchor>
  <xdr:twoCellAnchor editAs="absolute">
    <xdr:from>
      <xdr:col>1</xdr:col>
      <xdr:colOff>409576</xdr:colOff>
      <xdr:row>18</xdr:row>
      <xdr:rowOff>66675</xdr:rowOff>
    </xdr:from>
    <xdr:to>
      <xdr:col>2</xdr:col>
      <xdr:colOff>552451</xdr:colOff>
      <xdr:row>21</xdr:row>
      <xdr:rowOff>47625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49104712-91EC-461C-A127-20EA9D2FB0B6}"/>
            </a:ext>
          </a:extLst>
        </xdr:cNvPr>
        <xdr:cNvGrpSpPr/>
      </xdr:nvGrpSpPr>
      <xdr:grpSpPr>
        <a:xfrm>
          <a:off x="2143126" y="3705225"/>
          <a:ext cx="762000" cy="523875"/>
          <a:chOff x="3495675" y="5400674"/>
          <a:chExt cx="1549476" cy="752476"/>
        </a:xfrm>
      </xdr:grpSpPr>
      <xdr:pic>
        <xdr:nvPicPr>
          <xdr:cNvPr id="36" name="Imagem 35">
            <a:extLst>
              <a:ext uri="{FF2B5EF4-FFF2-40B4-BE49-F238E27FC236}">
                <a16:creationId xmlns:a16="http://schemas.microsoft.com/office/drawing/2014/main" id="{8FBC0358-310A-420D-889B-8043CE1CCE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37" name="Gráfico 36">
            <a:extLst>
              <a:ext uri="{FF2B5EF4-FFF2-40B4-BE49-F238E27FC236}">
                <a16:creationId xmlns:a16="http://schemas.microsoft.com/office/drawing/2014/main" id="{2AC97C9F-9608-6925-570D-27EE74B2C6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247653</xdr:colOff>
      <xdr:row>3</xdr:row>
      <xdr:rowOff>280988</xdr:rowOff>
    </xdr:from>
    <xdr:to>
      <xdr:col>9</xdr:col>
      <xdr:colOff>59169</xdr:colOff>
      <xdr:row>13</xdr:row>
      <xdr:rowOff>29520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646AD8F5-FAC4-377D-EFC0-A4216FBECA35}"/>
            </a:ext>
          </a:extLst>
        </xdr:cNvPr>
        <xdr:cNvGrpSpPr/>
      </xdr:nvGrpSpPr>
      <xdr:grpSpPr>
        <a:xfrm>
          <a:off x="1981203" y="1271588"/>
          <a:ext cx="4697841" cy="1491607"/>
          <a:chOff x="2045318" y="1271587"/>
          <a:chExt cx="5118125" cy="1407441"/>
        </a:xfrm>
      </xdr:grpSpPr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756C4D81-BE71-5599-5974-E6E840A495DD}"/>
              </a:ext>
            </a:extLst>
          </xdr:cNvPr>
          <xdr:cNvGrpSpPr/>
        </xdr:nvGrpSpPr>
        <xdr:grpSpPr>
          <a:xfrm>
            <a:off x="2045318" y="1271587"/>
            <a:ext cx="5118125" cy="1407441"/>
            <a:chOff x="2027765" y="1162049"/>
            <a:chExt cx="3306235" cy="827630"/>
          </a:xfrm>
        </xdr:grpSpPr>
        <xdr:sp macro="" textlink="C̳álculos!G22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FA73915F-5C5B-8699-DA29-25EAB8FC4A16}"/>
                </a:ext>
              </a:extLst>
            </xdr:cNvPr>
            <xdr:cNvSpPr/>
          </xdr:nvSpPr>
          <xdr:spPr>
            <a:xfrm>
              <a:off x="2027765" y="1322929"/>
              <a:ext cx="3295651" cy="66675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137776F-B490-490A-98C1-FB85278E7989}" type="TxLink">
                <a:rPr lang="en-US" sz="3600" b="1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R$ 990,00</a:t>
              </a:fld>
              <a:endParaRPr lang="pt-BR" sz="3600" b="1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13599429-4566-5223-F89A-364521949D65}"/>
                </a:ext>
              </a:extLst>
            </xdr:cNvPr>
            <xdr:cNvSpPr/>
          </xdr:nvSpPr>
          <xdr:spPr>
            <a:xfrm>
              <a:off x="2047875" y="1162049"/>
              <a:ext cx="3286125" cy="28575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11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TOTAL </a:t>
              </a:r>
              <a:r>
                <a:rPr lang="pt-BR" sz="1100" b="1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SUBSCRIPTIONS</a:t>
              </a:r>
              <a:r>
                <a:rPr lang="pt-BR" sz="11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EA PLAY SEASON PASS</a:t>
              </a:r>
              <a:endParaRPr lang="pt-BR">
                <a:effectLst/>
              </a:endParaRPr>
            </a:p>
            <a:p>
              <a:pPr algn="ctr"/>
              <a:endParaRPr lang="pt-BR" sz="1100"/>
            </a:p>
          </xdr:txBody>
        </xdr:sp>
      </xdr:grpSp>
      <xdr:pic>
        <xdr:nvPicPr>
          <xdr:cNvPr id="26" name="Imagem 25">
            <a:extLst>
              <a:ext uri="{FF2B5EF4-FFF2-40B4-BE49-F238E27FC236}">
                <a16:creationId xmlns:a16="http://schemas.microsoft.com/office/drawing/2014/main" id="{311A410A-00F2-4BD7-AFE4-15BF4E209A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63880" y="1708051"/>
            <a:ext cx="1035781" cy="914400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447675</xdr:colOff>
      <xdr:row>3</xdr:row>
      <xdr:rowOff>276225</xdr:rowOff>
    </xdr:from>
    <xdr:to>
      <xdr:col>20</xdr:col>
      <xdr:colOff>57150</xdr:colOff>
      <xdr:row>23</xdr:row>
      <xdr:rowOff>57150</xdr:rowOff>
    </xdr:to>
    <xdr:grpSp>
      <xdr:nvGrpSpPr>
        <xdr:cNvPr id="44" name="Agrupar 43">
          <a:extLst>
            <a:ext uri="{FF2B5EF4-FFF2-40B4-BE49-F238E27FC236}">
              <a16:creationId xmlns:a16="http://schemas.microsoft.com/office/drawing/2014/main" id="{CD6EBB07-BFB4-5372-A771-3F8413DB4469}"/>
            </a:ext>
          </a:extLst>
        </xdr:cNvPr>
        <xdr:cNvGrpSpPr/>
      </xdr:nvGrpSpPr>
      <xdr:grpSpPr>
        <a:xfrm>
          <a:off x="7067550" y="1266825"/>
          <a:ext cx="6153150" cy="3333750"/>
          <a:chOff x="13430250" y="1362075"/>
          <a:chExt cx="4000500" cy="3733800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B3E5914F-C299-F933-AF14-F0EDDCB0124C}"/>
              </a:ext>
            </a:extLst>
          </xdr:cNvPr>
          <xdr:cNvGrpSpPr/>
        </xdr:nvGrpSpPr>
        <xdr:grpSpPr>
          <a:xfrm>
            <a:off x="13430250" y="1390650"/>
            <a:ext cx="3981450" cy="3705225"/>
            <a:chOff x="7969088" y="2196034"/>
            <a:chExt cx="5886450" cy="4210050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CC98E5D6-355D-78BD-B9FA-F8FBC239F14A}"/>
                </a:ext>
              </a:extLst>
            </xdr:cNvPr>
            <xdr:cNvSpPr/>
          </xdr:nvSpPr>
          <xdr:spPr>
            <a:xfrm>
              <a:off x="7969088" y="2196034"/>
              <a:ext cx="5886450" cy="4210050"/>
            </a:xfrm>
            <a:prstGeom prst="round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>
                  <a:noFill/>
                </a:ln>
              </a:endParaRPr>
            </a:p>
          </xdr:txBody>
        </xdr:sp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B315CD71-D82B-48ED-8B49-87DB17146713}"/>
                </a:ext>
              </a:extLst>
            </xdr:cNvPr>
            <xdr:cNvGraphicFramePr>
              <a:graphicFrameLocks/>
            </xdr:cNvGraphicFramePr>
          </xdr:nvGraphicFramePr>
          <xdr:xfrm>
            <a:off x="8365921" y="2857530"/>
            <a:ext cx="3045730" cy="346900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  <xdr:sp macro="" textlink="">
        <xdr:nvSpPr>
          <xdr:cNvPr id="39" name="Retângulo: Cantos Superiores Arredondados 38">
            <a:extLst>
              <a:ext uri="{FF2B5EF4-FFF2-40B4-BE49-F238E27FC236}">
                <a16:creationId xmlns:a16="http://schemas.microsoft.com/office/drawing/2014/main" id="{3E3310E1-5E7D-4B09-8795-6FA0F42570A5}"/>
              </a:ext>
            </a:extLst>
          </xdr:cNvPr>
          <xdr:cNvSpPr/>
        </xdr:nvSpPr>
        <xdr:spPr>
          <a:xfrm>
            <a:off x="13439775" y="1362075"/>
            <a:ext cx="3990975" cy="51499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TICKET MÉDIO</a:t>
            </a:r>
            <a:endParaRPr lang="pt-BR">
              <a:effectLst/>
            </a:endParaRPr>
          </a:p>
          <a:p>
            <a:pPr algn="ctr"/>
            <a:endParaRPr lang="pt-BR" sz="1100"/>
          </a:p>
        </xdr:txBody>
      </xdr:sp>
    </xdr:grpSp>
    <xdr:clientData/>
  </xdr:twoCellAnchor>
  <xdr:twoCellAnchor editAs="oneCell">
    <xdr:from>
      <xdr:col>16</xdr:col>
      <xdr:colOff>577214</xdr:colOff>
      <xdr:row>14</xdr:row>
      <xdr:rowOff>72390</xdr:rowOff>
    </xdr:from>
    <xdr:to>
      <xdr:col>19</xdr:col>
      <xdr:colOff>419100</xdr:colOff>
      <xdr:row>21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5" name="Plan 1">
              <a:extLst>
                <a:ext uri="{FF2B5EF4-FFF2-40B4-BE49-F238E27FC236}">
                  <a16:creationId xmlns:a16="http://schemas.microsoft.com/office/drawing/2014/main" id="{DF79E41B-42BC-4C36-95CF-BBDFE29689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02364" y="2987040"/>
              <a:ext cx="1670686" cy="1203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561974</xdr:colOff>
      <xdr:row>8</xdr:row>
      <xdr:rowOff>47625</xdr:rowOff>
    </xdr:from>
    <xdr:to>
      <xdr:col>19</xdr:col>
      <xdr:colOff>403860</xdr:colOff>
      <xdr:row>13</xdr:row>
      <xdr:rowOff>129220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6" name="Auto Renewal 1">
              <a:extLst>
                <a:ext uri="{FF2B5EF4-FFF2-40B4-BE49-F238E27FC236}">
                  <a16:creationId xmlns:a16="http://schemas.microsoft.com/office/drawing/2014/main" id="{873611AE-E436-40D0-A02E-B6FF017885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87124" y="1943100"/>
              <a:ext cx="1670686" cy="9197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361950</xdr:colOff>
      <xdr:row>1</xdr:row>
      <xdr:rowOff>314325</xdr:rowOff>
    </xdr:from>
    <xdr:to>
      <xdr:col>15</xdr:col>
      <xdr:colOff>287493</xdr:colOff>
      <xdr:row>2</xdr:row>
      <xdr:rowOff>85725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AE22923F-5A4E-477F-BE49-773ADE7AD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258300" y="495300"/>
          <a:ext cx="1144743" cy="3333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na cristina" refreshedDate="45975.737313541664" createdVersion="8" refreshedVersion="8" minRefreshableVersion="3" recordCount="295" xr:uid="{FBDFC5BF-3F9E-4473-948C-502FCC7666AF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5868887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x v="0"/>
    <x v="0"/>
    <x v="0"/>
    <x v="0"/>
    <x v="0"/>
    <x v="0"/>
    <x v="0"/>
    <x v="0"/>
    <s v="Yes"/>
    <n v="20"/>
    <n v="5"/>
    <n v="60"/>
  </r>
  <r>
    <x v="1"/>
    <x v="1"/>
    <x v="1"/>
    <x v="1"/>
    <x v="1"/>
    <x v="1"/>
    <x v="1"/>
    <x v="1"/>
    <x v="1"/>
    <s v="No"/>
    <n v="0"/>
    <n v="0"/>
    <n v="5"/>
  </r>
  <r>
    <x v="2"/>
    <x v="2"/>
    <x v="2"/>
    <x v="2"/>
    <x v="0"/>
    <x v="2"/>
    <x v="2"/>
    <x v="1"/>
    <x v="1"/>
    <s v="Yes"/>
    <n v="20"/>
    <n v="10"/>
    <n v="20"/>
  </r>
  <r>
    <x v="3"/>
    <x v="3"/>
    <x v="0"/>
    <x v="3"/>
    <x v="1"/>
    <x v="0"/>
    <x v="0"/>
    <x v="0"/>
    <x v="0"/>
    <s v="Yes"/>
    <n v="20"/>
    <n v="3"/>
    <n v="62"/>
  </r>
  <r>
    <x v="4"/>
    <x v="4"/>
    <x v="1"/>
    <x v="4"/>
    <x v="0"/>
    <x v="1"/>
    <x v="0"/>
    <x v="1"/>
    <x v="1"/>
    <s v="No"/>
    <n v="0"/>
    <n v="1"/>
    <n v="4"/>
  </r>
  <r>
    <x v="5"/>
    <x v="5"/>
    <x v="2"/>
    <x v="5"/>
    <x v="1"/>
    <x v="2"/>
    <x v="0"/>
    <x v="1"/>
    <x v="1"/>
    <s v="Yes"/>
    <n v="20"/>
    <n v="2"/>
    <n v="28"/>
  </r>
  <r>
    <x v="6"/>
    <x v="6"/>
    <x v="0"/>
    <x v="6"/>
    <x v="0"/>
    <x v="0"/>
    <x v="2"/>
    <x v="0"/>
    <x v="0"/>
    <s v="Yes"/>
    <n v="20"/>
    <n v="10"/>
    <n v="55"/>
  </r>
  <r>
    <x v="7"/>
    <x v="7"/>
    <x v="1"/>
    <x v="7"/>
    <x v="0"/>
    <x v="1"/>
    <x v="1"/>
    <x v="1"/>
    <x v="1"/>
    <s v="No"/>
    <n v="0"/>
    <n v="0"/>
    <n v="5"/>
  </r>
  <r>
    <x v="8"/>
    <x v="8"/>
    <x v="0"/>
    <x v="4"/>
    <x v="1"/>
    <x v="0"/>
    <x v="0"/>
    <x v="0"/>
    <x v="0"/>
    <s v="Yes"/>
    <n v="20"/>
    <n v="5"/>
    <n v="60"/>
  </r>
  <r>
    <x v="9"/>
    <x v="9"/>
    <x v="2"/>
    <x v="8"/>
    <x v="0"/>
    <x v="2"/>
    <x v="2"/>
    <x v="1"/>
    <x v="1"/>
    <s v="Yes"/>
    <n v="20"/>
    <n v="15"/>
    <n v="15"/>
  </r>
  <r>
    <x v="10"/>
    <x v="10"/>
    <x v="1"/>
    <x v="9"/>
    <x v="1"/>
    <x v="1"/>
    <x v="0"/>
    <x v="1"/>
    <x v="1"/>
    <s v="No"/>
    <n v="0"/>
    <n v="1"/>
    <n v="4"/>
  </r>
  <r>
    <x v="11"/>
    <x v="11"/>
    <x v="0"/>
    <x v="10"/>
    <x v="0"/>
    <x v="0"/>
    <x v="1"/>
    <x v="0"/>
    <x v="0"/>
    <s v="Yes"/>
    <n v="20"/>
    <n v="20"/>
    <n v="45"/>
  </r>
  <r>
    <x v="12"/>
    <x v="12"/>
    <x v="2"/>
    <x v="11"/>
    <x v="1"/>
    <x v="2"/>
    <x v="0"/>
    <x v="1"/>
    <x v="1"/>
    <s v="Yes"/>
    <n v="20"/>
    <n v="10"/>
    <n v="20"/>
  </r>
  <r>
    <x v="13"/>
    <x v="13"/>
    <x v="1"/>
    <x v="12"/>
    <x v="0"/>
    <x v="1"/>
    <x v="2"/>
    <x v="1"/>
    <x v="1"/>
    <s v="No"/>
    <n v="0"/>
    <n v="0"/>
    <n v="5"/>
  </r>
  <r>
    <x v="14"/>
    <x v="14"/>
    <x v="0"/>
    <x v="13"/>
    <x v="1"/>
    <x v="0"/>
    <x v="0"/>
    <x v="0"/>
    <x v="0"/>
    <s v="Yes"/>
    <n v="20"/>
    <n v="8"/>
    <n v="57"/>
  </r>
  <r>
    <x v="15"/>
    <x v="15"/>
    <x v="2"/>
    <x v="14"/>
    <x v="0"/>
    <x v="2"/>
    <x v="1"/>
    <x v="1"/>
    <x v="1"/>
    <s v="Yes"/>
    <n v="20"/>
    <n v="12"/>
    <n v="18"/>
  </r>
  <r>
    <x v="16"/>
    <x v="16"/>
    <x v="1"/>
    <x v="15"/>
    <x v="1"/>
    <x v="1"/>
    <x v="0"/>
    <x v="1"/>
    <x v="1"/>
    <s v="No"/>
    <n v="0"/>
    <n v="2"/>
    <n v="3"/>
  </r>
  <r>
    <x v="17"/>
    <x v="17"/>
    <x v="0"/>
    <x v="16"/>
    <x v="0"/>
    <x v="0"/>
    <x v="2"/>
    <x v="0"/>
    <x v="0"/>
    <s v="Yes"/>
    <n v="20"/>
    <n v="7"/>
    <n v="58"/>
  </r>
  <r>
    <x v="18"/>
    <x v="18"/>
    <x v="2"/>
    <x v="17"/>
    <x v="1"/>
    <x v="2"/>
    <x v="0"/>
    <x v="1"/>
    <x v="1"/>
    <s v="Yes"/>
    <n v="20"/>
    <n v="5"/>
    <n v="25"/>
  </r>
  <r>
    <x v="19"/>
    <x v="19"/>
    <x v="1"/>
    <x v="18"/>
    <x v="0"/>
    <x v="1"/>
    <x v="1"/>
    <x v="1"/>
    <x v="1"/>
    <s v="No"/>
    <n v="0"/>
    <n v="0"/>
    <n v="5"/>
  </r>
  <r>
    <x v="20"/>
    <x v="20"/>
    <x v="0"/>
    <x v="19"/>
    <x v="1"/>
    <x v="0"/>
    <x v="0"/>
    <x v="0"/>
    <x v="0"/>
    <s v="Yes"/>
    <n v="20"/>
    <n v="3"/>
    <n v="62"/>
  </r>
  <r>
    <x v="21"/>
    <x v="21"/>
    <x v="2"/>
    <x v="20"/>
    <x v="0"/>
    <x v="2"/>
    <x v="2"/>
    <x v="1"/>
    <x v="1"/>
    <s v="Yes"/>
    <n v="20"/>
    <n v="15"/>
    <n v="15"/>
  </r>
  <r>
    <x v="22"/>
    <x v="22"/>
    <x v="1"/>
    <x v="21"/>
    <x v="1"/>
    <x v="1"/>
    <x v="0"/>
    <x v="1"/>
    <x v="1"/>
    <s v="No"/>
    <n v="0"/>
    <n v="1"/>
    <n v="4"/>
  </r>
  <r>
    <x v="23"/>
    <x v="23"/>
    <x v="0"/>
    <x v="22"/>
    <x v="0"/>
    <x v="0"/>
    <x v="1"/>
    <x v="0"/>
    <x v="0"/>
    <s v="Yes"/>
    <n v="20"/>
    <n v="20"/>
    <n v="45"/>
  </r>
  <r>
    <x v="24"/>
    <x v="24"/>
    <x v="2"/>
    <x v="23"/>
    <x v="1"/>
    <x v="2"/>
    <x v="0"/>
    <x v="1"/>
    <x v="1"/>
    <s v="Yes"/>
    <n v="20"/>
    <n v="10"/>
    <n v="20"/>
  </r>
  <r>
    <x v="25"/>
    <x v="25"/>
    <x v="1"/>
    <x v="24"/>
    <x v="0"/>
    <x v="1"/>
    <x v="2"/>
    <x v="1"/>
    <x v="1"/>
    <s v="No"/>
    <n v="0"/>
    <n v="0"/>
    <n v="5"/>
  </r>
  <r>
    <x v="26"/>
    <x v="26"/>
    <x v="0"/>
    <x v="25"/>
    <x v="1"/>
    <x v="0"/>
    <x v="0"/>
    <x v="0"/>
    <x v="0"/>
    <s v="Yes"/>
    <n v="20"/>
    <n v="5"/>
    <n v="60"/>
  </r>
  <r>
    <x v="27"/>
    <x v="27"/>
    <x v="2"/>
    <x v="26"/>
    <x v="0"/>
    <x v="2"/>
    <x v="1"/>
    <x v="1"/>
    <x v="1"/>
    <s v="Yes"/>
    <n v="20"/>
    <n v="15"/>
    <n v="15"/>
  </r>
  <r>
    <x v="28"/>
    <x v="28"/>
    <x v="1"/>
    <x v="27"/>
    <x v="1"/>
    <x v="1"/>
    <x v="0"/>
    <x v="1"/>
    <x v="1"/>
    <s v="No"/>
    <n v="0"/>
    <n v="1"/>
    <n v="4"/>
  </r>
  <r>
    <x v="29"/>
    <x v="29"/>
    <x v="0"/>
    <x v="28"/>
    <x v="0"/>
    <x v="0"/>
    <x v="2"/>
    <x v="0"/>
    <x v="0"/>
    <s v="Yes"/>
    <n v="20"/>
    <n v="7"/>
    <n v="58"/>
  </r>
  <r>
    <x v="30"/>
    <x v="30"/>
    <x v="2"/>
    <x v="29"/>
    <x v="1"/>
    <x v="2"/>
    <x v="0"/>
    <x v="1"/>
    <x v="1"/>
    <s v="Yes"/>
    <n v="20"/>
    <n v="10"/>
    <n v="20"/>
  </r>
  <r>
    <x v="31"/>
    <x v="31"/>
    <x v="1"/>
    <x v="30"/>
    <x v="0"/>
    <x v="1"/>
    <x v="1"/>
    <x v="1"/>
    <x v="1"/>
    <s v="No"/>
    <n v="0"/>
    <n v="0"/>
    <n v="5"/>
  </r>
  <r>
    <x v="32"/>
    <x v="32"/>
    <x v="0"/>
    <x v="31"/>
    <x v="1"/>
    <x v="0"/>
    <x v="0"/>
    <x v="0"/>
    <x v="0"/>
    <s v="Yes"/>
    <n v="20"/>
    <n v="3"/>
    <n v="62"/>
  </r>
  <r>
    <x v="33"/>
    <x v="33"/>
    <x v="2"/>
    <x v="32"/>
    <x v="0"/>
    <x v="2"/>
    <x v="2"/>
    <x v="1"/>
    <x v="1"/>
    <s v="Yes"/>
    <n v="20"/>
    <n v="15"/>
    <n v="15"/>
  </r>
  <r>
    <x v="34"/>
    <x v="34"/>
    <x v="1"/>
    <x v="33"/>
    <x v="1"/>
    <x v="1"/>
    <x v="0"/>
    <x v="1"/>
    <x v="1"/>
    <s v="No"/>
    <n v="0"/>
    <n v="1"/>
    <n v="4"/>
  </r>
  <r>
    <x v="35"/>
    <x v="35"/>
    <x v="1"/>
    <x v="34"/>
    <x v="0"/>
    <x v="1"/>
    <x v="0"/>
    <x v="1"/>
    <x v="1"/>
    <s v="No"/>
    <n v="0"/>
    <n v="0"/>
    <n v="5"/>
  </r>
  <r>
    <x v="36"/>
    <x v="36"/>
    <x v="0"/>
    <x v="35"/>
    <x v="1"/>
    <x v="0"/>
    <x v="2"/>
    <x v="0"/>
    <x v="0"/>
    <s v="Yes"/>
    <n v="20"/>
    <n v="7"/>
    <n v="58"/>
  </r>
  <r>
    <x v="37"/>
    <x v="37"/>
    <x v="2"/>
    <x v="36"/>
    <x v="0"/>
    <x v="2"/>
    <x v="1"/>
    <x v="1"/>
    <x v="1"/>
    <s v="Yes"/>
    <n v="20"/>
    <n v="10"/>
    <n v="20"/>
  </r>
  <r>
    <x v="38"/>
    <x v="38"/>
    <x v="1"/>
    <x v="37"/>
    <x v="1"/>
    <x v="1"/>
    <x v="2"/>
    <x v="1"/>
    <x v="1"/>
    <s v="No"/>
    <n v="0"/>
    <n v="1"/>
    <n v="4"/>
  </r>
  <r>
    <x v="39"/>
    <x v="39"/>
    <x v="0"/>
    <x v="38"/>
    <x v="0"/>
    <x v="0"/>
    <x v="0"/>
    <x v="0"/>
    <x v="0"/>
    <s v="Yes"/>
    <n v="20"/>
    <n v="15"/>
    <n v="50"/>
  </r>
  <r>
    <x v="40"/>
    <x v="40"/>
    <x v="2"/>
    <x v="39"/>
    <x v="1"/>
    <x v="2"/>
    <x v="0"/>
    <x v="1"/>
    <x v="1"/>
    <s v="Yes"/>
    <n v="20"/>
    <n v="5"/>
    <n v="25"/>
  </r>
  <r>
    <x v="41"/>
    <x v="41"/>
    <x v="1"/>
    <x v="40"/>
    <x v="0"/>
    <x v="1"/>
    <x v="1"/>
    <x v="1"/>
    <x v="1"/>
    <s v="No"/>
    <n v="0"/>
    <n v="0"/>
    <n v="5"/>
  </r>
  <r>
    <x v="42"/>
    <x v="42"/>
    <x v="0"/>
    <x v="41"/>
    <x v="1"/>
    <x v="0"/>
    <x v="2"/>
    <x v="0"/>
    <x v="0"/>
    <s v="Yes"/>
    <n v="20"/>
    <n v="20"/>
    <n v="45"/>
  </r>
  <r>
    <x v="43"/>
    <x v="43"/>
    <x v="2"/>
    <x v="42"/>
    <x v="0"/>
    <x v="2"/>
    <x v="2"/>
    <x v="1"/>
    <x v="1"/>
    <s v="Yes"/>
    <n v="20"/>
    <n v="12"/>
    <n v="18"/>
  </r>
  <r>
    <x v="44"/>
    <x v="44"/>
    <x v="1"/>
    <x v="43"/>
    <x v="1"/>
    <x v="1"/>
    <x v="0"/>
    <x v="1"/>
    <x v="1"/>
    <s v="No"/>
    <n v="0"/>
    <n v="2"/>
    <n v="3"/>
  </r>
  <r>
    <x v="45"/>
    <x v="45"/>
    <x v="0"/>
    <x v="44"/>
    <x v="0"/>
    <x v="0"/>
    <x v="1"/>
    <x v="0"/>
    <x v="0"/>
    <s v="Yes"/>
    <n v="20"/>
    <n v="5"/>
    <n v="60"/>
  </r>
  <r>
    <x v="46"/>
    <x v="46"/>
    <x v="2"/>
    <x v="45"/>
    <x v="1"/>
    <x v="2"/>
    <x v="0"/>
    <x v="1"/>
    <x v="1"/>
    <s v="Yes"/>
    <n v="20"/>
    <n v="10"/>
    <n v="20"/>
  </r>
  <r>
    <x v="47"/>
    <x v="47"/>
    <x v="1"/>
    <x v="46"/>
    <x v="0"/>
    <x v="1"/>
    <x v="2"/>
    <x v="1"/>
    <x v="1"/>
    <s v="No"/>
    <n v="0"/>
    <n v="0"/>
    <n v="5"/>
  </r>
  <r>
    <x v="48"/>
    <x v="48"/>
    <x v="0"/>
    <x v="47"/>
    <x v="1"/>
    <x v="0"/>
    <x v="0"/>
    <x v="0"/>
    <x v="0"/>
    <s v="Yes"/>
    <n v="20"/>
    <n v="3"/>
    <n v="62"/>
  </r>
  <r>
    <x v="49"/>
    <x v="49"/>
    <x v="2"/>
    <x v="48"/>
    <x v="0"/>
    <x v="2"/>
    <x v="1"/>
    <x v="1"/>
    <x v="1"/>
    <s v="Yes"/>
    <n v="20"/>
    <n v="15"/>
    <n v="15"/>
  </r>
  <r>
    <x v="50"/>
    <x v="50"/>
    <x v="1"/>
    <x v="49"/>
    <x v="1"/>
    <x v="1"/>
    <x v="0"/>
    <x v="1"/>
    <x v="1"/>
    <s v="No"/>
    <n v="0"/>
    <n v="1"/>
    <n v="4"/>
  </r>
  <r>
    <x v="51"/>
    <x v="51"/>
    <x v="0"/>
    <x v="50"/>
    <x v="0"/>
    <x v="0"/>
    <x v="2"/>
    <x v="0"/>
    <x v="0"/>
    <s v="Yes"/>
    <n v="20"/>
    <n v="7"/>
    <n v="58"/>
  </r>
  <r>
    <x v="52"/>
    <x v="52"/>
    <x v="2"/>
    <x v="51"/>
    <x v="1"/>
    <x v="2"/>
    <x v="0"/>
    <x v="1"/>
    <x v="1"/>
    <s v="Yes"/>
    <n v="20"/>
    <n v="10"/>
    <n v="20"/>
  </r>
  <r>
    <x v="53"/>
    <x v="53"/>
    <x v="1"/>
    <x v="52"/>
    <x v="0"/>
    <x v="1"/>
    <x v="1"/>
    <x v="1"/>
    <x v="1"/>
    <s v="No"/>
    <n v="0"/>
    <n v="0"/>
    <n v="5"/>
  </r>
  <r>
    <x v="54"/>
    <x v="54"/>
    <x v="0"/>
    <x v="53"/>
    <x v="1"/>
    <x v="0"/>
    <x v="0"/>
    <x v="0"/>
    <x v="0"/>
    <s v="Yes"/>
    <n v="20"/>
    <n v="20"/>
    <n v="45"/>
  </r>
  <r>
    <x v="55"/>
    <x v="55"/>
    <x v="2"/>
    <x v="54"/>
    <x v="0"/>
    <x v="2"/>
    <x v="2"/>
    <x v="1"/>
    <x v="1"/>
    <s v="Yes"/>
    <n v="20"/>
    <n v="15"/>
    <n v="15"/>
  </r>
  <r>
    <x v="56"/>
    <x v="56"/>
    <x v="1"/>
    <x v="55"/>
    <x v="1"/>
    <x v="1"/>
    <x v="0"/>
    <x v="1"/>
    <x v="1"/>
    <s v="No"/>
    <n v="0"/>
    <n v="1"/>
    <n v="4"/>
  </r>
  <r>
    <x v="57"/>
    <x v="57"/>
    <x v="0"/>
    <x v="56"/>
    <x v="0"/>
    <x v="0"/>
    <x v="1"/>
    <x v="0"/>
    <x v="0"/>
    <s v="Yes"/>
    <n v="20"/>
    <n v="3"/>
    <n v="62"/>
  </r>
  <r>
    <x v="58"/>
    <x v="58"/>
    <x v="2"/>
    <x v="57"/>
    <x v="1"/>
    <x v="2"/>
    <x v="0"/>
    <x v="1"/>
    <x v="1"/>
    <s v="Yes"/>
    <n v="20"/>
    <n v="10"/>
    <n v="20"/>
  </r>
  <r>
    <x v="59"/>
    <x v="59"/>
    <x v="1"/>
    <x v="58"/>
    <x v="0"/>
    <x v="1"/>
    <x v="2"/>
    <x v="1"/>
    <x v="1"/>
    <s v="No"/>
    <n v="0"/>
    <n v="0"/>
    <n v="5"/>
  </r>
  <r>
    <x v="60"/>
    <x v="60"/>
    <x v="0"/>
    <x v="59"/>
    <x v="1"/>
    <x v="0"/>
    <x v="0"/>
    <x v="0"/>
    <x v="0"/>
    <s v="Yes"/>
    <n v="20"/>
    <n v="5"/>
    <n v="60"/>
  </r>
  <r>
    <x v="61"/>
    <x v="61"/>
    <x v="2"/>
    <x v="60"/>
    <x v="0"/>
    <x v="2"/>
    <x v="1"/>
    <x v="1"/>
    <x v="1"/>
    <s v="Yes"/>
    <n v="20"/>
    <n v="15"/>
    <n v="15"/>
  </r>
  <r>
    <x v="62"/>
    <x v="62"/>
    <x v="1"/>
    <x v="61"/>
    <x v="1"/>
    <x v="1"/>
    <x v="0"/>
    <x v="1"/>
    <x v="1"/>
    <s v="No"/>
    <n v="0"/>
    <n v="1"/>
    <n v="4"/>
  </r>
  <r>
    <x v="63"/>
    <x v="63"/>
    <x v="0"/>
    <x v="62"/>
    <x v="0"/>
    <x v="0"/>
    <x v="2"/>
    <x v="0"/>
    <x v="0"/>
    <s v="Yes"/>
    <n v="20"/>
    <n v="20"/>
    <n v="45"/>
  </r>
  <r>
    <x v="64"/>
    <x v="64"/>
    <x v="2"/>
    <x v="63"/>
    <x v="1"/>
    <x v="2"/>
    <x v="0"/>
    <x v="1"/>
    <x v="1"/>
    <s v="Yes"/>
    <n v="20"/>
    <n v="5"/>
    <n v="25"/>
  </r>
  <r>
    <x v="65"/>
    <x v="65"/>
    <x v="1"/>
    <x v="64"/>
    <x v="1"/>
    <x v="1"/>
    <x v="0"/>
    <x v="1"/>
    <x v="1"/>
    <s v="No"/>
    <n v="0"/>
    <n v="0"/>
    <n v="5"/>
  </r>
  <r>
    <x v="66"/>
    <x v="66"/>
    <x v="0"/>
    <x v="65"/>
    <x v="0"/>
    <x v="0"/>
    <x v="2"/>
    <x v="0"/>
    <x v="0"/>
    <s v="Yes"/>
    <n v="20"/>
    <n v="7"/>
    <n v="58"/>
  </r>
  <r>
    <x v="67"/>
    <x v="67"/>
    <x v="2"/>
    <x v="66"/>
    <x v="1"/>
    <x v="2"/>
    <x v="1"/>
    <x v="1"/>
    <x v="1"/>
    <s v="Yes"/>
    <n v="20"/>
    <n v="10"/>
    <n v="20"/>
  </r>
  <r>
    <x v="68"/>
    <x v="68"/>
    <x v="1"/>
    <x v="67"/>
    <x v="0"/>
    <x v="1"/>
    <x v="2"/>
    <x v="1"/>
    <x v="1"/>
    <s v="No"/>
    <n v="0"/>
    <n v="1"/>
    <n v="4"/>
  </r>
  <r>
    <x v="69"/>
    <x v="69"/>
    <x v="0"/>
    <x v="68"/>
    <x v="1"/>
    <x v="0"/>
    <x v="0"/>
    <x v="0"/>
    <x v="0"/>
    <s v="Yes"/>
    <n v="20"/>
    <n v="15"/>
    <n v="50"/>
  </r>
  <r>
    <x v="70"/>
    <x v="70"/>
    <x v="2"/>
    <x v="69"/>
    <x v="0"/>
    <x v="2"/>
    <x v="0"/>
    <x v="1"/>
    <x v="1"/>
    <s v="Yes"/>
    <n v="20"/>
    <n v="5"/>
    <n v="25"/>
  </r>
  <r>
    <x v="71"/>
    <x v="71"/>
    <x v="1"/>
    <x v="70"/>
    <x v="1"/>
    <x v="1"/>
    <x v="1"/>
    <x v="1"/>
    <x v="1"/>
    <s v="No"/>
    <n v="0"/>
    <n v="0"/>
    <n v="5"/>
  </r>
  <r>
    <x v="72"/>
    <x v="72"/>
    <x v="0"/>
    <x v="71"/>
    <x v="0"/>
    <x v="0"/>
    <x v="2"/>
    <x v="0"/>
    <x v="0"/>
    <s v="Yes"/>
    <n v="20"/>
    <n v="20"/>
    <n v="45"/>
  </r>
  <r>
    <x v="73"/>
    <x v="73"/>
    <x v="2"/>
    <x v="72"/>
    <x v="1"/>
    <x v="2"/>
    <x v="2"/>
    <x v="1"/>
    <x v="1"/>
    <s v="Yes"/>
    <n v="20"/>
    <n v="12"/>
    <n v="18"/>
  </r>
  <r>
    <x v="74"/>
    <x v="74"/>
    <x v="1"/>
    <x v="73"/>
    <x v="0"/>
    <x v="1"/>
    <x v="0"/>
    <x v="1"/>
    <x v="1"/>
    <s v="No"/>
    <n v="0"/>
    <n v="2"/>
    <n v="3"/>
  </r>
  <r>
    <x v="75"/>
    <x v="75"/>
    <x v="0"/>
    <x v="74"/>
    <x v="1"/>
    <x v="0"/>
    <x v="1"/>
    <x v="0"/>
    <x v="0"/>
    <s v="Yes"/>
    <n v="20"/>
    <n v="5"/>
    <n v="60"/>
  </r>
  <r>
    <x v="76"/>
    <x v="76"/>
    <x v="2"/>
    <x v="75"/>
    <x v="0"/>
    <x v="2"/>
    <x v="0"/>
    <x v="1"/>
    <x v="1"/>
    <s v="Yes"/>
    <n v="20"/>
    <n v="10"/>
    <n v="20"/>
  </r>
  <r>
    <x v="77"/>
    <x v="77"/>
    <x v="1"/>
    <x v="76"/>
    <x v="1"/>
    <x v="1"/>
    <x v="2"/>
    <x v="1"/>
    <x v="1"/>
    <s v="No"/>
    <n v="0"/>
    <n v="0"/>
    <n v="5"/>
  </r>
  <r>
    <x v="78"/>
    <x v="78"/>
    <x v="0"/>
    <x v="77"/>
    <x v="0"/>
    <x v="0"/>
    <x v="0"/>
    <x v="0"/>
    <x v="0"/>
    <s v="Yes"/>
    <n v="20"/>
    <n v="3"/>
    <n v="62"/>
  </r>
  <r>
    <x v="79"/>
    <x v="79"/>
    <x v="2"/>
    <x v="78"/>
    <x v="1"/>
    <x v="2"/>
    <x v="1"/>
    <x v="1"/>
    <x v="1"/>
    <s v="Yes"/>
    <n v="20"/>
    <n v="15"/>
    <n v="15"/>
  </r>
  <r>
    <x v="80"/>
    <x v="80"/>
    <x v="1"/>
    <x v="79"/>
    <x v="0"/>
    <x v="1"/>
    <x v="0"/>
    <x v="1"/>
    <x v="1"/>
    <s v="No"/>
    <n v="0"/>
    <n v="1"/>
    <n v="4"/>
  </r>
  <r>
    <x v="81"/>
    <x v="81"/>
    <x v="0"/>
    <x v="80"/>
    <x v="1"/>
    <x v="0"/>
    <x v="2"/>
    <x v="0"/>
    <x v="0"/>
    <s v="Yes"/>
    <n v="20"/>
    <n v="7"/>
    <n v="58"/>
  </r>
  <r>
    <x v="82"/>
    <x v="82"/>
    <x v="2"/>
    <x v="81"/>
    <x v="0"/>
    <x v="2"/>
    <x v="0"/>
    <x v="1"/>
    <x v="1"/>
    <s v="Yes"/>
    <n v="20"/>
    <n v="10"/>
    <n v="20"/>
  </r>
  <r>
    <x v="83"/>
    <x v="83"/>
    <x v="1"/>
    <x v="82"/>
    <x v="1"/>
    <x v="1"/>
    <x v="1"/>
    <x v="1"/>
    <x v="1"/>
    <s v="No"/>
    <n v="0"/>
    <n v="0"/>
    <n v="5"/>
  </r>
  <r>
    <x v="84"/>
    <x v="84"/>
    <x v="0"/>
    <x v="83"/>
    <x v="0"/>
    <x v="0"/>
    <x v="0"/>
    <x v="0"/>
    <x v="0"/>
    <s v="Yes"/>
    <n v="20"/>
    <n v="20"/>
    <n v="45"/>
  </r>
  <r>
    <x v="85"/>
    <x v="85"/>
    <x v="2"/>
    <x v="84"/>
    <x v="1"/>
    <x v="2"/>
    <x v="2"/>
    <x v="1"/>
    <x v="1"/>
    <s v="Yes"/>
    <n v="20"/>
    <n v="15"/>
    <n v="15"/>
  </r>
  <r>
    <x v="86"/>
    <x v="86"/>
    <x v="1"/>
    <x v="85"/>
    <x v="0"/>
    <x v="1"/>
    <x v="0"/>
    <x v="1"/>
    <x v="1"/>
    <s v="No"/>
    <n v="0"/>
    <n v="1"/>
    <n v="4"/>
  </r>
  <r>
    <x v="87"/>
    <x v="87"/>
    <x v="0"/>
    <x v="86"/>
    <x v="1"/>
    <x v="0"/>
    <x v="1"/>
    <x v="0"/>
    <x v="0"/>
    <s v="Yes"/>
    <n v="20"/>
    <n v="3"/>
    <n v="62"/>
  </r>
  <r>
    <x v="88"/>
    <x v="88"/>
    <x v="2"/>
    <x v="87"/>
    <x v="0"/>
    <x v="2"/>
    <x v="0"/>
    <x v="1"/>
    <x v="1"/>
    <s v="Yes"/>
    <n v="20"/>
    <n v="10"/>
    <n v="20"/>
  </r>
  <r>
    <x v="89"/>
    <x v="89"/>
    <x v="1"/>
    <x v="88"/>
    <x v="1"/>
    <x v="1"/>
    <x v="2"/>
    <x v="1"/>
    <x v="1"/>
    <s v="No"/>
    <n v="0"/>
    <n v="0"/>
    <n v="5"/>
  </r>
  <r>
    <x v="90"/>
    <x v="90"/>
    <x v="0"/>
    <x v="89"/>
    <x v="0"/>
    <x v="0"/>
    <x v="0"/>
    <x v="0"/>
    <x v="0"/>
    <s v="Yes"/>
    <n v="20"/>
    <n v="5"/>
    <n v="60"/>
  </r>
  <r>
    <x v="91"/>
    <x v="91"/>
    <x v="2"/>
    <x v="90"/>
    <x v="1"/>
    <x v="2"/>
    <x v="1"/>
    <x v="1"/>
    <x v="1"/>
    <s v="Yes"/>
    <n v="20"/>
    <n v="15"/>
    <n v="15"/>
  </r>
  <r>
    <x v="92"/>
    <x v="92"/>
    <x v="1"/>
    <x v="91"/>
    <x v="0"/>
    <x v="1"/>
    <x v="0"/>
    <x v="1"/>
    <x v="1"/>
    <s v="No"/>
    <n v="0"/>
    <n v="1"/>
    <n v="4"/>
  </r>
  <r>
    <x v="93"/>
    <x v="93"/>
    <x v="0"/>
    <x v="92"/>
    <x v="1"/>
    <x v="0"/>
    <x v="2"/>
    <x v="0"/>
    <x v="0"/>
    <s v="Yes"/>
    <n v="20"/>
    <n v="20"/>
    <n v="45"/>
  </r>
  <r>
    <x v="94"/>
    <x v="94"/>
    <x v="2"/>
    <x v="93"/>
    <x v="0"/>
    <x v="2"/>
    <x v="2"/>
    <x v="1"/>
    <x v="1"/>
    <s v="Yes"/>
    <n v="20"/>
    <n v="15"/>
    <n v="15"/>
  </r>
  <r>
    <x v="95"/>
    <x v="95"/>
    <x v="1"/>
    <x v="94"/>
    <x v="1"/>
    <x v="1"/>
    <x v="1"/>
    <x v="1"/>
    <x v="1"/>
    <s v="No"/>
    <n v="0"/>
    <n v="0"/>
    <n v="5"/>
  </r>
  <r>
    <x v="96"/>
    <x v="96"/>
    <x v="0"/>
    <x v="95"/>
    <x v="0"/>
    <x v="0"/>
    <x v="0"/>
    <x v="0"/>
    <x v="0"/>
    <s v="Yes"/>
    <n v="20"/>
    <n v="7"/>
    <n v="58"/>
  </r>
  <r>
    <x v="97"/>
    <x v="97"/>
    <x v="2"/>
    <x v="96"/>
    <x v="1"/>
    <x v="2"/>
    <x v="1"/>
    <x v="1"/>
    <x v="1"/>
    <s v="Yes"/>
    <n v="20"/>
    <n v="10"/>
    <n v="20"/>
  </r>
  <r>
    <x v="98"/>
    <x v="98"/>
    <x v="1"/>
    <x v="97"/>
    <x v="0"/>
    <x v="1"/>
    <x v="2"/>
    <x v="1"/>
    <x v="1"/>
    <s v="No"/>
    <n v="0"/>
    <n v="1"/>
    <n v="4"/>
  </r>
  <r>
    <x v="99"/>
    <x v="99"/>
    <x v="0"/>
    <x v="98"/>
    <x v="1"/>
    <x v="0"/>
    <x v="0"/>
    <x v="0"/>
    <x v="0"/>
    <s v="Yes"/>
    <n v="20"/>
    <n v="15"/>
    <n v="50"/>
  </r>
  <r>
    <x v="100"/>
    <x v="100"/>
    <x v="2"/>
    <x v="99"/>
    <x v="0"/>
    <x v="2"/>
    <x v="0"/>
    <x v="1"/>
    <x v="1"/>
    <s v="Yes"/>
    <n v="20"/>
    <n v="5"/>
    <n v="25"/>
  </r>
  <r>
    <x v="101"/>
    <x v="101"/>
    <x v="1"/>
    <x v="100"/>
    <x v="1"/>
    <x v="1"/>
    <x v="1"/>
    <x v="1"/>
    <x v="1"/>
    <s v="No"/>
    <n v="0"/>
    <n v="0"/>
    <n v="5"/>
  </r>
  <r>
    <x v="102"/>
    <x v="102"/>
    <x v="0"/>
    <x v="101"/>
    <x v="0"/>
    <x v="0"/>
    <x v="2"/>
    <x v="0"/>
    <x v="0"/>
    <s v="Yes"/>
    <n v="20"/>
    <n v="20"/>
    <n v="45"/>
  </r>
  <r>
    <x v="103"/>
    <x v="103"/>
    <x v="2"/>
    <x v="102"/>
    <x v="1"/>
    <x v="2"/>
    <x v="2"/>
    <x v="1"/>
    <x v="1"/>
    <s v="Yes"/>
    <n v="20"/>
    <n v="12"/>
    <n v="18"/>
  </r>
  <r>
    <x v="104"/>
    <x v="104"/>
    <x v="1"/>
    <x v="103"/>
    <x v="0"/>
    <x v="1"/>
    <x v="0"/>
    <x v="1"/>
    <x v="1"/>
    <s v="No"/>
    <n v="0"/>
    <n v="2"/>
    <n v="3"/>
  </r>
  <r>
    <x v="105"/>
    <x v="105"/>
    <x v="1"/>
    <x v="104"/>
    <x v="0"/>
    <x v="1"/>
    <x v="0"/>
    <x v="1"/>
    <x v="1"/>
    <s v="No"/>
    <n v="0"/>
    <n v="0"/>
    <n v="5"/>
  </r>
  <r>
    <x v="106"/>
    <x v="106"/>
    <x v="0"/>
    <x v="105"/>
    <x v="1"/>
    <x v="0"/>
    <x v="2"/>
    <x v="0"/>
    <x v="0"/>
    <s v="Yes"/>
    <n v="20"/>
    <n v="7"/>
    <n v="58"/>
  </r>
  <r>
    <x v="107"/>
    <x v="107"/>
    <x v="2"/>
    <x v="106"/>
    <x v="0"/>
    <x v="2"/>
    <x v="1"/>
    <x v="1"/>
    <x v="1"/>
    <s v="Yes"/>
    <n v="20"/>
    <n v="10"/>
    <n v="20"/>
  </r>
  <r>
    <x v="108"/>
    <x v="108"/>
    <x v="1"/>
    <x v="107"/>
    <x v="1"/>
    <x v="1"/>
    <x v="2"/>
    <x v="1"/>
    <x v="1"/>
    <s v="No"/>
    <n v="0"/>
    <n v="1"/>
    <n v="4"/>
  </r>
  <r>
    <x v="109"/>
    <x v="109"/>
    <x v="0"/>
    <x v="108"/>
    <x v="0"/>
    <x v="0"/>
    <x v="0"/>
    <x v="0"/>
    <x v="0"/>
    <s v="Yes"/>
    <n v="20"/>
    <n v="15"/>
    <n v="50"/>
  </r>
  <r>
    <x v="110"/>
    <x v="110"/>
    <x v="2"/>
    <x v="109"/>
    <x v="1"/>
    <x v="2"/>
    <x v="0"/>
    <x v="1"/>
    <x v="1"/>
    <s v="Yes"/>
    <n v="20"/>
    <n v="5"/>
    <n v="25"/>
  </r>
  <r>
    <x v="111"/>
    <x v="111"/>
    <x v="1"/>
    <x v="110"/>
    <x v="0"/>
    <x v="1"/>
    <x v="1"/>
    <x v="1"/>
    <x v="1"/>
    <s v="No"/>
    <n v="0"/>
    <n v="0"/>
    <n v="5"/>
  </r>
  <r>
    <x v="112"/>
    <x v="112"/>
    <x v="0"/>
    <x v="111"/>
    <x v="1"/>
    <x v="0"/>
    <x v="2"/>
    <x v="0"/>
    <x v="0"/>
    <s v="Yes"/>
    <n v="20"/>
    <n v="20"/>
    <n v="45"/>
  </r>
  <r>
    <x v="113"/>
    <x v="113"/>
    <x v="2"/>
    <x v="112"/>
    <x v="0"/>
    <x v="2"/>
    <x v="2"/>
    <x v="1"/>
    <x v="1"/>
    <s v="Yes"/>
    <n v="20"/>
    <n v="12"/>
    <n v="18"/>
  </r>
  <r>
    <x v="114"/>
    <x v="114"/>
    <x v="1"/>
    <x v="113"/>
    <x v="1"/>
    <x v="1"/>
    <x v="0"/>
    <x v="1"/>
    <x v="1"/>
    <s v="No"/>
    <n v="0"/>
    <n v="2"/>
    <n v="3"/>
  </r>
  <r>
    <x v="115"/>
    <x v="115"/>
    <x v="0"/>
    <x v="114"/>
    <x v="0"/>
    <x v="0"/>
    <x v="1"/>
    <x v="0"/>
    <x v="0"/>
    <s v="Yes"/>
    <n v="20"/>
    <n v="5"/>
    <n v="60"/>
  </r>
  <r>
    <x v="116"/>
    <x v="116"/>
    <x v="2"/>
    <x v="115"/>
    <x v="1"/>
    <x v="2"/>
    <x v="0"/>
    <x v="1"/>
    <x v="1"/>
    <s v="Yes"/>
    <n v="20"/>
    <n v="10"/>
    <n v="20"/>
  </r>
  <r>
    <x v="117"/>
    <x v="117"/>
    <x v="1"/>
    <x v="116"/>
    <x v="0"/>
    <x v="1"/>
    <x v="2"/>
    <x v="1"/>
    <x v="1"/>
    <s v="No"/>
    <n v="0"/>
    <n v="0"/>
    <n v="5"/>
  </r>
  <r>
    <x v="118"/>
    <x v="93"/>
    <x v="0"/>
    <x v="117"/>
    <x v="1"/>
    <x v="0"/>
    <x v="0"/>
    <x v="0"/>
    <x v="0"/>
    <s v="Yes"/>
    <n v="20"/>
    <n v="3"/>
    <n v="62"/>
  </r>
  <r>
    <x v="119"/>
    <x v="118"/>
    <x v="2"/>
    <x v="118"/>
    <x v="0"/>
    <x v="2"/>
    <x v="1"/>
    <x v="1"/>
    <x v="1"/>
    <s v="Yes"/>
    <n v="20"/>
    <n v="15"/>
    <n v="15"/>
  </r>
  <r>
    <x v="120"/>
    <x v="119"/>
    <x v="1"/>
    <x v="119"/>
    <x v="1"/>
    <x v="1"/>
    <x v="0"/>
    <x v="1"/>
    <x v="1"/>
    <s v="No"/>
    <n v="0"/>
    <n v="1"/>
    <n v="4"/>
  </r>
  <r>
    <x v="121"/>
    <x v="120"/>
    <x v="0"/>
    <x v="120"/>
    <x v="0"/>
    <x v="0"/>
    <x v="2"/>
    <x v="0"/>
    <x v="0"/>
    <s v="Yes"/>
    <n v="20"/>
    <n v="7"/>
    <n v="58"/>
  </r>
  <r>
    <x v="122"/>
    <x v="121"/>
    <x v="2"/>
    <x v="121"/>
    <x v="1"/>
    <x v="2"/>
    <x v="0"/>
    <x v="1"/>
    <x v="1"/>
    <s v="Yes"/>
    <n v="20"/>
    <n v="10"/>
    <n v="20"/>
  </r>
  <r>
    <x v="123"/>
    <x v="122"/>
    <x v="1"/>
    <x v="122"/>
    <x v="0"/>
    <x v="1"/>
    <x v="1"/>
    <x v="1"/>
    <x v="1"/>
    <s v="No"/>
    <n v="0"/>
    <n v="0"/>
    <n v="5"/>
  </r>
  <r>
    <x v="124"/>
    <x v="123"/>
    <x v="0"/>
    <x v="123"/>
    <x v="1"/>
    <x v="0"/>
    <x v="0"/>
    <x v="0"/>
    <x v="0"/>
    <s v="Yes"/>
    <n v="20"/>
    <n v="20"/>
    <n v="45"/>
  </r>
  <r>
    <x v="125"/>
    <x v="124"/>
    <x v="2"/>
    <x v="124"/>
    <x v="0"/>
    <x v="2"/>
    <x v="2"/>
    <x v="1"/>
    <x v="1"/>
    <s v="Yes"/>
    <n v="20"/>
    <n v="15"/>
    <n v="15"/>
  </r>
  <r>
    <x v="126"/>
    <x v="125"/>
    <x v="1"/>
    <x v="125"/>
    <x v="1"/>
    <x v="1"/>
    <x v="0"/>
    <x v="1"/>
    <x v="1"/>
    <s v="No"/>
    <n v="0"/>
    <n v="1"/>
    <n v="4"/>
  </r>
  <r>
    <x v="127"/>
    <x v="126"/>
    <x v="0"/>
    <x v="126"/>
    <x v="0"/>
    <x v="0"/>
    <x v="1"/>
    <x v="0"/>
    <x v="0"/>
    <s v="Yes"/>
    <n v="20"/>
    <n v="3"/>
    <n v="62"/>
  </r>
  <r>
    <x v="128"/>
    <x v="127"/>
    <x v="2"/>
    <x v="127"/>
    <x v="1"/>
    <x v="2"/>
    <x v="0"/>
    <x v="1"/>
    <x v="1"/>
    <s v="Yes"/>
    <n v="20"/>
    <n v="10"/>
    <n v="20"/>
  </r>
  <r>
    <x v="129"/>
    <x v="128"/>
    <x v="1"/>
    <x v="128"/>
    <x v="0"/>
    <x v="1"/>
    <x v="2"/>
    <x v="1"/>
    <x v="1"/>
    <s v="No"/>
    <n v="0"/>
    <n v="0"/>
    <n v="5"/>
  </r>
  <r>
    <x v="130"/>
    <x v="129"/>
    <x v="0"/>
    <x v="129"/>
    <x v="1"/>
    <x v="0"/>
    <x v="0"/>
    <x v="0"/>
    <x v="0"/>
    <s v="Yes"/>
    <n v="20"/>
    <n v="15"/>
    <n v="50"/>
  </r>
  <r>
    <x v="131"/>
    <x v="130"/>
    <x v="2"/>
    <x v="130"/>
    <x v="0"/>
    <x v="2"/>
    <x v="1"/>
    <x v="1"/>
    <x v="1"/>
    <s v="Yes"/>
    <n v="20"/>
    <n v="15"/>
    <n v="15"/>
  </r>
  <r>
    <x v="132"/>
    <x v="131"/>
    <x v="1"/>
    <x v="131"/>
    <x v="1"/>
    <x v="1"/>
    <x v="0"/>
    <x v="1"/>
    <x v="1"/>
    <s v="No"/>
    <n v="0"/>
    <n v="1"/>
    <n v="4"/>
  </r>
  <r>
    <x v="133"/>
    <x v="132"/>
    <x v="0"/>
    <x v="132"/>
    <x v="0"/>
    <x v="0"/>
    <x v="2"/>
    <x v="0"/>
    <x v="0"/>
    <s v="Yes"/>
    <n v="20"/>
    <n v="7"/>
    <n v="58"/>
  </r>
  <r>
    <x v="134"/>
    <x v="133"/>
    <x v="2"/>
    <x v="133"/>
    <x v="1"/>
    <x v="2"/>
    <x v="0"/>
    <x v="1"/>
    <x v="1"/>
    <s v="Yes"/>
    <n v="20"/>
    <n v="10"/>
    <n v="20"/>
  </r>
  <r>
    <x v="135"/>
    <x v="134"/>
    <x v="1"/>
    <x v="134"/>
    <x v="0"/>
    <x v="1"/>
    <x v="0"/>
    <x v="1"/>
    <x v="1"/>
    <s v="No"/>
    <n v="0"/>
    <n v="0"/>
    <n v="5"/>
  </r>
  <r>
    <x v="136"/>
    <x v="135"/>
    <x v="0"/>
    <x v="135"/>
    <x v="1"/>
    <x v="0"/>
    <x v="2"/>
    <x v="0"/>
    <x v="0"/>
    <s v="Yes"/>
    <n v="20"/>
    <n v="7"/>
    <n v="58"/>
  </r>
  <r>
    <x v="137"/>
    <x v="136"/>
    <x v="2"/>
    <x v="136"/>
    <x v="0"/>
    <x v="2"/>
    <x v="1"/>
    <x v="1"/>
    <x v="1"/>
    <s v="Yes"/>
    <n v="20"/>
    <n v="10"/>
    <n v="20"/>
  </r>
  <r>
    <x v="138"/>
    <x v="137"/>
    <x v="1"/>
    <x v="137"/>
    <x v="1"/>
    <x v="1"/>
    <x v="2"/>
    <x v="1"/>
    <x v="1"/>
    <s v="No"/>
    <n v="0"/>
    <n v="1"/>
    <n v="4"/>
  </r>
  <r>
    <x v="139"/>
    <x v="138"/>
    <x v="0"/>
    <x v="138"/>
    <x v="0"/>
    <x v="0"/>
    <x v="0"/>
    <x v="0"/>
    <x v="0"/>
    <s v="Yes"/>
    <n v="20"/>
    <n v="15"/>
    <n v="50"/>
  </r>
  <r>
    <x v="140"/>
    <x v="139"/>
    <x v="2"/>
    <x v="139"/>
    <x v="1"/>
    <x v="2"/>
    <x v="0"/>
    <x v="1"/>
    <x v="1"/>
    <s v="Yes"/>
    <n v="20"/>
    <n v="5"/>
    <n v="25"/>
  </r>
  <r>
    <x v="141"/>
    <x v="140"/>
    <x v="1"/>
    <x v="140"/>
    <x v="0"/>
    <x v="1"/>
    <x v="1"/>
    <x v="1"/>
    <x v="1"/>
    <s v="No"/>
    <n v="0"/>
    <n v="0"/>
    <n v="5"/>
  </r>
  <r>
    <x v="142"/>
    <x v="141"/>
    <x v="0"/>
    <x v="141"/>
    <x v="1"/>
    <x v="0"/>
    <x v="2"/>
    <x v="0"/>
    <x v="0"/>
    <s v="Yes"/>
    <n v="20"/>
    <n v="20"/>
    <n v="45"/>
  </r>
  <r>
    <x v="143"/>
    <x v="142"/>
    <x v="2"/>
    <x v="142"/>
    <x v="0"/>
    <x v="2"/>
    <x v="2"/>
    <x v="1"/>
    <x v="1"/>
    <s v="Yes"/>
    <n v="20"/>
    <n v="12"/>
    <n v="18"/>
  </r>
  <r>
    <x v="144"/>
    <x v="143"/>
    <x v="1"/>
    <x v="143"/>
    <x v="1"/>
    <x v="1"/>
    <x v="0"/>
    <x v="1"/>
    <x v="1"/>
    <s v="No"/>
    <n v="0"/>
    <n v="2"/>
    <n v="3"/>
  </r>
  <r>
    <x v="145"/>
    <x v="144"/>
    <x v="0"/>
    <x v="144"/>
    <x v="0"/>
    <x v="0"/>
    <x v="1"/>
    <x v="0"/>
    <x v="0"/>
    <s v="Yes"/>
    <n v="20"/>
    <n v="5"/>
    <n v="60"/>
  </r>
  <r>
    <x v="146"/>
    <x v="145"/>
    <x v="2"/>
    <x v="145"/>
    <x v="1"/>
    <x v="2"/>
    <x v="0"/>
    <x v="1"/>
    <x v="1"/>
    <s v="Yes"/>
    <n v="20"/>
    <n v="10"/>
    <n v="20"/>
  </r>
  <r>
    <x v="147"/>
    <x v="146"/>
    <x v="1"/>
    <x v="146"/>
    <x v="0"/>
    <x v="1"/>
    <x v="2"/>
    <x v="1"/>
    <x v="1"/>
    <s v="No"/>
    <n v="0"/>
    <n v="0"/>
    <n v="5"/>
  </r>
  <r>
    <x v="148"/>
    <x v="147"/>
    <x v="0"/>
    <x v="147"/>
    <x v="1"/>
    <x v="0"/>
    <x v="0"/>
    <x v="0"/>
    <x v="0"/>
    <s v="Yes"/>
    <n v="20"/>
    <n v="3"/>
    <n v="62"/>
  </r>
  <r>
    <x v="149"/>
    <x v="148"/>
    <x v="2"/>
    <x v="148"/>
    <x v="0"/>
    <x v="2"/>
    <x v="1"/>
    <x v="1"/>
    <x v="1"/>
    <s v="Yes"/>
    <n v="20"/>
    <n v="15"/>
    <n v="15"/>
  </r>
  <r>
    <x v="150"/>
    <x v="149"/>
    <x v="1"/>
    <x v="149"/>
    <x v="1"/>
    <x v="1"/>
    <x v="0"/>
    <x v="1"/>
    <x v="1"/>
    <s v="No"/>
    <n v="0"/>
    <n v="1"/>
    <n v="4"/>
  </r>
  <r>
    <x v="151"/>
    <x v="150"/>
    <x v="0"/>
    <x v="150"/>
    <x v="0"/>
    <x v="0"/>
    <x v="2"/>
    <x v="0"/>
    <x v="0"/>
    <s v="Yes"/>
    <n v="20"/>
    <n v="7"/>
    <n v="58"/>
  </r>
  <r>
    <x v="152"/>
    <x v="151"/>
    <x v="2"/>
    <x v="151"/>
    <x v="1"/>
    <x v="2"/>
    <x v="0"/>
    <x v="1"/>
    <x v="1"/>
    <s v="Yes"/>
    <n v="20"/>
    <n v="10"/>
    <n v="20"/>
  </r>
  <r>
    <x v="153"/>
    <x v="152"/>
    <x v="1"/>
    <x v="152"/>
    <x v="0"/>
    <x v="1"/>
    <x v="1"/>
    <x v="1"/>
    <x v="1"/>
    <s v="No"/>
    <n v="0"/>
    <n v="0"/>
    <n v="5"/>
  </r>
  <r>
    <x v="154"/>
    <x v="153"/>
    <x v="0"/>
    <x v="153"/>
    <x v="1"/>
    <x v="0"/>
    <x v="0"/>
    <x v="0"/>
    <x v="0"/>
    <s v="Yes"/>
    <n v="20"/>
    <n v="20"/>
    <n v="45"/>
  </r>
  <r>
    <x v="155"/>
    <x v="154"/>
    <x v="2"/>
    <x v="154"/>
    <x v="0"/>
    <x v="2"/>
    <x v="2"/>
    <x v="1"/>
    <x v="1"/>
    <s v="Yes"/>
    <n v="20"/>
    <n v="15"/>
    <n v="15"/>
  </r>
  <r>
    <x v="156"/>
    <x v="155"/>
    <x v="1"/>
    <x v="155"/>
    <x v="1"/>
    <x v="1"/>
    <x v="0"/>
    <x v="1"/>
    <x v="1"/>
    <s v="No"/>
    <n v="0"/>
    <n v="1"/>
    <n v="4"/>
  </r>
  <r>
    <x v="157"/>
    <x v="156"/>
    <x v="0"/>
    <x v="156"/>
    <x v="0"/>
    <x v="0"/>
    <x v="1"/>
    <x v="0"/>
    <x v="0"/>
    <s v="Yes"/>
    <n v="20"/>
    <n v="3"/>
    <n v="62"/>
  </r>
  <r>
    <x v="158"/>
    <x v="157"/>
    <x v="2"/>
    <x v="157"/>
    <x v="1"/>
    <x v="2"/>
    <x v="0"/>
    <x v="1"/>
    <x v="1"/>
    <s v="Yes"/>
    <n v="20"/>
    <n v="10"/>
    <n v="20"/>
  </r>
  <r>
    <x v="159"/>
    <x v="158"/>
    <x v="1"/>
    <x v="158"/>
    <x v="0"/>
    <x v="1"/>
    <x v="2"/>
    <x v="1"/>
    <x v="1"/>
    <s v="No"/>
    <n v="0"/>
    <n v="0"/>
    <n v="5"/>
  </r>
  <r>
    <x v="160"/>
    <x v="58"/>
    <x v="0"/>
    <x v="159"/>
    <x v="1"/>
    <x v="0"/>
    <x v="0"/>
    <x v="0"/>
    <x v="0"/>
    <s v="Yes"/>
    <n v="20"/>
    <n v="15"/>
    <n v="50"/>
  </r>
  <r>
    <x v="161"/>
    <x v="159"/>
    <x v="2"/>
    <x v="160"/>
    <x v="0"/>
    <x v="2"/>
    <x v="1"/>
    <x v="1"/>
    <x v="1"/>
    <s v="Yes"/>
    <n v="20"/>
    <n v="15"/>
    <n v="15"/>
  </r>
  <r>
    <x v="162"/>
    <x v="160"/>
    <x v="1"/>
    <x v="161"/>
    <x v="1"/>
    <x v="1"/>
    <x v="0"/>
    <x v="1"/>
    <x v="1"/>
    <s v="No"/>
    <n v="0"/>
    <n v="1"/>
    <n v="4"/>
  </r>
  <r>
    <x v="163"/>
    <x v="161"/>
    <x v="0"/>
    <x v="162"/>
    <x v="0"/>
    <x v="0"/>
    <x v="2"/>
    <x v="0"/>
    <x v="0"/>
    <s v="Yes"/>
    <n v="20"/>
    <n v="7"/>
    <n v="58"/>
  </r>
  <r>
    <x v="164"/>
    <x v="162"/>
    <x v="2"/>
    <x v="163"/>
    <x v="1"/>
    <x v="2"/>
    <x v="0"/>
    <x v="1"/>
    <x v="1"/>
    <s v="Yes"/>
    <n v="20"/>
    <n v="10"/>
    <n v="20"/>
  </r>
  <r>
    <x v="165"/>
    <x v="163"/>
    <x v="1"/>
    <x v="164"/>
    <x v="0"/>
    <x v="1"/>
    <x v="1"/>
    <x v="1"/>
    <x v="1"/>
    <s v="No"/>
    <n v="0"/>
    <n v="0"/>
    <n v="5"/>
  </r>
  <r>
    <x v="166"/>
    <x v="90"/>
    <x v="0"/>
    <x v="165"/>
    <x v="1"/>
    <x v="0"/>
    <x v="0"/>
    <x v="0"/>
    <x v="0"/>
    <s v="Yes"/>
    <n v="20"/>
    <n v="20"/>
    <n v="45"/>
  </r>
  <r>
    <x v="167"/>
    <x v="164"/>
    <x v="2"/>
    <x v="166"/>
    <x v="0"/>
    <x v="2"/>
    <x v="2"/>
    <x v="1"/>
    <x v="1"/>
    <s v="Yes"/>
    <n v="20"/>
    <n v="15"/>
    <n v="15"/>
  </r>
  <r>
    <x v="168"/>
    <x v="165"/>
    <x v="1"/>
    <x v="167"/>
    <x v="1"/>
    <x v="1"/>
    <x v="0"/>
    <x v="1"/>
    <x v="1"/>
    <s v="No"/>
    <n v="0"/>
    <n v="1"/>
    <n v="4"/>
  </r>
  <r>
    <x v="169"/>
    <x v="166"/>
    <x v="0"/>
    <x v="168"/>
    <x v="0"/>
    <x v="0"/>
    <x v="1"/>
    <x v="0"/>
    <x v="0"/>
    <s v="Yes"/>
    <n v="20"/>
    <n v="5"/>
    <n v="60"/>
  </r>
  <r>
    <x v="170"/>
    <x v="167"/>
    <x v="2"/>
    <x v="169"/>
    <x v="1"/>
    <x v="2"/>
    <x v="0"/>
    <x v="1"/>
    <x v="1"/>
    <s v="Yes"/>
    <n v="20"/>
    <n v="10"/>
    <n v="20"/>
  </r>
  <r>
    <x v="171"/>
    <x v="168"/>
    <x v="1"/>
    <x v="170"/>
    <x v="0"/>
    <x v="1"/>
    <x v="2"/>
    <x v="1"/>
    <x v="1"/>
    <s v="No"/>
    <n v="0"/>
    <n v="0"/>
    <n v="5"/>
  </r>
  <r>
    <x v="172"/>
    <x v="169"/>
    <x v="0"/>
    <x v="171"/>
    <x v="1"/>
    <x v="0"/>
    <x v="0"/>
    <x v="0"/>
    <x v="0"/>
    <s v="Yes"/>
    <n v="20"/>
    <n v="3"/>
    <n v="62"/>
  </r>
  <r>
    <x v="173"/>
    <x v="170"/>
    <x v="2"/>
    <x v="172"/>
    <x v="0"/>
    <x v="2"/>
    <x v="1"/>
    <x v="1"/>
    <x v="1"/>
    <s v="Yes"/>
    <n v="20"/>
    <n v="15"/>
    <n v="15"/>
  </r>
  <r>
    <x v="174"/>
    <x v="171"/>
    <x v="1"/>
    <x v="173"/>
    <x v="1"/>
    <x v="1"/>
    <x v="0"/>
    <x v="1"/>
    <x v="1"/>
    <s v="No"/>
    <n v="0"/>
    <n v="1"/>
    <n v="4"/>
  </r>
  <r>
    <x v="175"/>
    <x v="172"/>
    <x v="1"/>
    <x v="174"/>
    <x v="0"/>
    <x v="1"/>
    <x v="0"/>
    <x v="1"/>
    <x v="1"/>
    <s v="No"/>
    <n v="0"/>
    <n v="0"/>
    <n v="5"/>
  </r>
  <r>
    <x v="176"/>
    <x v="173"/>
    <x v="0"/>
    <x v="175"/>
    <x v="1"/>
    <x v="0"/>
    <x v="2"/>
    <x v="0"/>
    <x v="0"/>
    <s v="Yes"/>
    <n v="20"/>
    <n v="7"/>
    <n v="58"/>
  </r>
  <r>
    <x v="177"/>
    <x v="174"/>
    <x v="2"/>
    <x v="176"/>
    <x v="0"/>
    <x v="2"/>
    <x v="1"/>
    <x v="1"/>
    <x v="1"/>
    <s v="Yes"/>
    <n v="20"/>
    <n v="10"/>
    <n v="20"/>
  </r>
  <r>
    <x v="178"/>
    <x v="175"/>
    <x v="1"/>
    <x v="177"/>
    <x v="1"/>
    <x v="1"/>
    <x v="2"/>
    <x v="1"/>
    <x v="1"/>
    <s v="No"/>
    <n v="0"/>
    <n v="1"/>
    <n v="4"/>
  </r>
  <r>
    <x v="179"/>
    <x v="176"/>
    <x v="0"/>
    <x v="178"/>
    <x v="0"/>
    <x v="0"/>
    <x v="0"/>
    <x v="0"/>
    <x v="0"/>
    <s v="Yes"/>
    <n v="20"/>
    <n v="15"/>
    <n v="50"/>
  </r>
  <r>
    <x v="180"/>
    <x v="177"/>
    <x v="2"/>
    <x v="179"/>
    <x v="1"/>
    <x v="2"/>
    <x v="0"/>
    <x v="1"/>
    <x v="1"/>
    <s v="Yes"/>
    <n v="20"/>
    <n v="5"/>
    <n v="25"/>
  </r>
  <r>
    <x v="181"/>
    <x v="178"/>
    <x v="1"/>
    <x v="180"/>
    <x v="0"/>
    <x v="1"/>
    <x v="1"/>
    <x v="1"/>
    <x v="1"/>
    <s v="No"/>
    <n v="0"/>
    <n v="0"/>
    <n v="5"/>
  </r>
  <r>
    <x v="182"/>
    <x v="179"/>
    <x v="0"/>
    <x v="181"/>
    <x v="1"/>
    <x v="0"/>
    <x v="2"/>
    <x v="0"/>
    <x v="0"/>
    <s v="Yes"/>
    <n v="20"/>
    <n v="20"/>
    <n v="45"/>
  </r>
  <r>
    <x v="183"/>
    <x v="180"/>
    <x v="2"/>
    <x v="182"/>
    <x v="0"/>
    <x v="2"/>
    <x v="2"/>
    <x v="1"/>
    <x v="1"/>
    <s v="Yes"/>
    <n v="20"/>
    <n v="12"/>
    <n v="18"/>
  </r>
  <r>
    <x v="184"/>
    <x v="181"/>
    <x v="1"/>
    <x v="183"/>
    <x v="1"/>
    <x v="1"/>
    <x v="0"/>
    <x v="1"/>
    <x v="1"/>
    <s v="No"/>
    <n v="0"/>
    <n v="2"/>
    <n v="3"/>
  </r>
  <r>
    <x v="185"/>
    <x v="182"/>
    <x v="0"/>
    <x v="184"/>
    <x v="0"/>
    <x v="0"/>
    <x v="1"/>
    <x v="0"/>
    <x v="0"/>
    <s v="Yes"/>
    <n v="20"/>
    <n v="5"/>
    <n v="60"/>
  </r>
  <r>
    <x v="186"/>
    <x v="183"/>
    <x v="2"/>
    <x v="185"/>
    <x v="1"/>
    <x v="2"/>
    <x v="0"/>
    <x v="1"/>
    <x v="1"/>
    <s v="Yes"/>
    <n v="20"/>
    <n v="10"/>
    <n v="20"/>
  </r>
  <r>
    <x v="187"/>
    <x v="184"/>
    <x v="1"/>
    <x v="186"/>
    <x v="0"/>
    <x v="1"/>
    <x v="2"/>
    <x v="1"/>
    <x v="1"/>
    <s v="No"/>
    <n v="0"/>
    <n v="0"/>
    <n v="5"/>
  </r>
  <r>
    <x v="188"/>
    <x v="185"/>
    <x v="0"/>
    <x v="187"/>
    <x v="1"/>
    <x v="0"/>
    <x v="0"/>
    <x v="0"/>
    <x v="0"/>
    <s v="Yes"/>
    <n v="20"/>
    <n v="3"/>
    <n v="62"/>
  </r>
  <r>
    <x v="189"/>
    <x v="186"/>
    <x v="2"/>
    <x v="188"/>
    <x v="0"/>
    <x v="2"/>
    <x v="1"/>
    <x v="1"/>
    <x v="1"/>
    <s v="Yes"/>
    <n v="20"/>
    <n v="15"/>
    <n v="15"/>
  </r>
  <r>
    <x v="190"/>
    <x v="15"/>
    <x v="1"/>
    <x v="189"/>
    <x v="1"/>
    <x v="1"/>
    <x v="0"/>
    <x v="1"/>
    <x v="1"/>
    <s v="No"/>
    <n v="0"/>
    <n v="1"/>
    <n v="4"/>
  </r>
  <r>
    <x v="191"/>
    <x v="187"/>
    <x v="0"/>
    <x v="190"/>
    <x v="0"/>
    <x v="0"/>
    <x v="2"/>
    <x v="0"/>
    <x v="0"/>
    <s v="Yes"/>
    <n v="20"/>
    <n v="7"/>
    <n v="58"/>
  </r>
  <r>
    <x v="192"/>
    <x v="188"/>
    <x v="2"/>
    <x v="191"/>
    <x v="1"/>
    <x v="2"/>
    <x v="0"/>
    <x v="1"/>
    <x v="1"/>
    <s v="Yes"/>
    <n v="20"/>
    <n v="10"/>
    <n v="20"/>
  </r>
  <r>
    <x v="193"/>
    <x v="14"/>
    <x v="1"/>
    <x v="192"/>
    <x v="0"/>
    <x v="1"/>
    <x v="1"/>
    <x v="1"/>
    <x v="1"/>
    <s v="No"/>
    <n v="0"/>
    <n v="0"/>
    <n v="5"/>
  </r>
  <r>
    <x v="194"/>
    <x v="189"/>
    <x v="0"/>
    <x v="193"/>
    <x v="1"/>
    <x v="0"/>
    <x v="0"/>
    <x v="0"/>
    <x v="0"/>
    <s v="Yes"/>
    <n v="20"/>
    <n v="20"/>
    <n v="45"/>
  </r>
  <r>
    <x v="195"/>
    <x v="167"/>
    <x v="2"/>
    <x v="194"/>
    <x v="0"/>
    <x v="2"/>
    <x v="2"/>
    <x v="1"/>
    <x v="1"/>
    <s v="Yes"/>
    <n v="20"/>
    <n v="15"/>
    <n v="15"/>
  </r>
  <r>
    <x v="196"/>
    <x v="190"/>
    <x v="1"/>
    <x v="195"/>
    <x v="1"/>
    <x v="1"/>
    <x v="0"/>
    <x v="1"/>
    <x v="1"/>
    <s v="No"/>
    <n v="0"/>
    <n v="1"/>
    <n v="4"/>
  </r>
  <r>
    <x v="197"/>
    <x v="191"/>
    <x v="0"/>
    <x v="196"/>
    <x v="0"/>
    <x v="0"/>
    <x v="1"/>
    <x v="0"/>
    <x v="0"/>
    <s v="Yes"/>
    <n v="20"/>
    <n v="3"/>
    <n v="62"/>
  </r>
  <r>
    <x v="198"/>
    <x v="192"/>
    <x v="2"/>
    <x v="197"/>
    <x v="1"/>
    <x v="2"/>
    <x v="0"/>
    <x v="1"/>
    <x v="1"/>
    <s v="Yes"/>
    <n v="20"/>
    <n v="10"/>
    <n v="20"/>
  </r>
  <r>
    <x v="199"/>
    <x v="193"/>
    <x v="1"/>
    <x v="198"/>
    <x v="0"/>
    <x v="1"/>
    <x v="2"/>
    <x v="1"/>
    <x v="1"/>
    <s v="No"/>
    <n v="0"/>
    <n v="0"/>
    <n v="5"/>
  </r>
  <r>
    <x v="200"/>
    <x v="194"/>
    <x v="0"/>
    <x v="199"/>
    <x v="1"/>
    <x v="0"/>
    <x v="0"/>
    <x v="0"/>
    <x v="0"/>
    <s v="Yes"/>
    <n v="20"/>
    <n v="15"/>
    <n v="50"/>
  </r>
  <r>
    <x v="201"/>
    <x v="195"/>
    <x v="2"/>
    <x v="200"/>
    <x v="0"/>
    <x v="2"/>
    <x v="1"/>
    <x v="1"/>
    <x v="1"/>
    <s v="Yes"/>
    <n v="20"/>
    <n v="15"/>
    <n v="15"/>
  </r>
  <r>
    <x v="202"/>
    <x v="196"/>
    <x v="1"/>
    <x v="201"/>
    <x v="1"/>
    <x v="1"/>
    <x v="0"/>
    <x v="1"/>
    <x v="1"/>
    <s v="No"/>
    <n v="0"/>
    <n v="1"/>
    <n v="4"/>
  </r>
  <r>
    <x v="203"/>
    <x v="197"/>
    <x v="0"/>
    <x v="202"/>
    <x v="0"/>
    <x v="0"/>
    <x v="2"/>
    <x v="0"/>
    <x v="0"/>
    <s v="Yes"/>
    <n v="20"/>
    <n v="7"/>
    <n v="58"/>
  </r>
  <r>
    <x v="204"/>
    <x v="198"/>
    <x v="2"/>
    <x v="203"/>
    <x v="1"/>
    <x v="2"/>
    <x v="0"/>
    <x v="1"/>
    <x v="1"/>
    <s v="Yes"/>
    <n v="20"/>
    <n v="10"/>
    <n v="20"/>
  </r>
  <r>
    <x v="205"/>
    <x v="199"/>
    <x v="1"/>
    <x v="204"/>
    <x v="0"/>
    <x v="1"/>
    <x v="0"/>
    <x v="1"/>
    <x v="1"/>
    <s v="No"/>
    <n v="0"/>
    <n v="0"/>
    <n v="5"/>
  </r>
  <r>
    <x v="206"/>
    <x v="200"/>
    <x v="0"/>
    <x v="205"/>
    <x v="1"/>
    <x v="0"/>
    <x v="2"/>
    <x v="0"/>
    <x v="0"/>
    <s v="Yes"/>
    <n v="20"/>
    <n v="7"/>
    <n v="58"/>
  </r>
  <r>
    <x v="207"/>
    <x v="201"/>
    <x v="2"/>
    <x v="206"/>
    <x v="0"/>
    <x v="2"/>
    <x v="1"/>
    <x v="1"/>
    <x v="1"/>
    <s v="Yes"/>
    <n v="20"/>
    <n v="10"/>
    <n v="20"/>
  </r>
  <r>
    <x v="208"/>
    <x v="202"/>
    <x v="1"/>
    <x v="207"/>
    <x v="1"/>
    <x v="1"/>
    <x v="2"/>
    <x v="1"/>
    <x v="1"/>
    <s v="No"/>
    <n v="0"/>
    <n v="1"/>
    <n v="4"/>
  </r>
  <r>
    <x v="209"/>
    <x v="203"/>
    <x v="0"/>
    <x v="208"/>
    <x v="0"/>
    <x v="0"/>
    <x v="0"/>
    <x v="0"/>
    <x v="0"/>
    <s v="Yes"/>
    <n v="20"/>
    <n v="15"/>
    <n v="50"/>
  </r>
  <r>
    <x v="210"/>
    <x v="204"/>
    <x v="2"/>
    <x v="209"/>
    <x v="1"/>
    <x v="2"/>
    <x v="0"/>
    <x v="1"/>
    <x v="1"/>
    <s v="Yes"/>
    <n v="20"/>
    <n v="5"/>
    <n v="25"/>
  </r>
  <r>
    <x v="211"/>
    <x v="205"/>
    <x v="1"/>
    <x v="210"/>
    <x v="0"/>
    <x v="1"/>
    <x v="1"/>
    <x v="1"/>
    <x v="1"/>
    <s v="No"/>
    <n v="0"/>
    <n v="0"/>
    <n v="5"/>
  </r>
  <r>
    <x v="212"/>
    <x v="206"/>
    <x v="0"/>
    <x v="211"/>
    <x v="1"/>
    <x v="0"/>
    <x v="2"/>
    <x v="0"/>
    <x v="0"/>
    <s v="Yes"/>
    <n v="20"/>
    <n v="20"/>
    <n v="45"/>
  </r>
  <r>
    <x v="213"/>
    <x v="207"/>
    <x v="2"/>
    <x v="212"/>
    <x v="0"/>
    <x v="2"/>
    <x v="2"/>
    <x v="1"/>
    <x v="1"/>
    <s v="Yes"/>
    <n v="20"/>
    <n v="12"/>
    <n v="18"/>
  </r>
  <r>
    <x v="214"/>
    <x v="37"/>
    <x v="1"/>
    <x v="213"/>
    <x v="1"/>
    <x v="1"/>
    <x v="0"/>
    <x v="1"/>
    <x v="1"/>
    <s v="No"/>
    <n v="0"/>
    <n v="2"/>
    <n v="3"/>
  </r>
  <r>
    <x v="215"/>
    <x v="208"/>
    <x v="0"/>
    <x v="214"/>
    <x v="0"/>
    <x v="0"/>
    <x v="1"/>
    <x v="0"/>
    <x v="0"/>
    <s v="Yes"/>
    <n v="20"/>
    <n v="5"/>
    <n v="60"/>
  </r>
  <r>
    <x v="216"/>
    <x v="209"/>
    <x v="2"/>
    <x v="215"/>
    <x v="1"/>
    <x v="2"/>
    <x v="0"/>
    <x v="1"/>
    <x v="1"/>
    <s v="Yes"/>
    <n v="20"/>
    <n v="10"/>
    <n v="20"/>
  </r>
  <r>
    <x v="217"/>
    <x v="210"/>
    <x v="1"/>
    <x v="216"/>
    <x v="0"/>
    <x v="1"/>
    <x v="2"/>
    <x v="1"/>
    <x v="1"/>
    <s v="No"/>
    <n v="0"/>
    <n v="0"/>
    <n v="5"/>
  </r>
  <r>
    <x v="218"/>
    <x v="211"/>
    <x v="0"/>
    <x v="217"/>
    <x v="1"/>
    <x v="0"/>
    <x v="0"/>
    <x v="0"/>
    <x v="0"/>
    <s v="Yes"/>
    <n v="20"/>
    <n v="3"/>
    <n v="62"/>
  </r>
  <r>
    <x v="219"/>
    <x v="212"/>
    <x v="2"/>
    <x v="218"/>
    <x v="0"/>
    <x v="2"/>
    <x v="1"/>
    <x v="1"/>
    <x v="1"/>
    <s v="Yes"/>
    <n v="20"/>
    <n v="15"/>
    <n v="15"/>
  </r>
  <r>
    <x v="220"/>
    <x v="213"/>
    <x v="1"/>
    <x v="219"/>
    <x v="1"/>
    <x v="1"/>
    <x v="0"/>
    <x v="1"/>
    <x v="1"/>
    <s v="No"/>
    <n v="0"/>
    <n v="1"/>
    <n v="4"/>
  </r>
  <r>
    <x v="221"/>
    <x v="191"/>
    <x v="0"/>
    <x v="220"/>
    <x v="0"/>
    <x v="0"/>
    <x v="2"/>
    <x v="0"/>
    <x v="0"/>
    <s v="Yes"/>
    <n v="20"/>
    <n v="7"/>
    <n v="58"/>
  </r>
  <r>
    <x v="222"/>
    <x v="45"/>
    <x v="2"/>
    <x v="221"/>
    <x v="1"/>
    <x v="2"/>
    <x v="0"/>
    <x v="1"/>
    <x v="1"/>
    <s v="Yes"/>
    <n v="20"/>
    <n v="10"/>
    <n v="20"/>
  </r>
  <r>
    <x v="223"/>
    <x v="214"/>
    <x v="1"/>
    <x v="222"/>
    <x v="0"/>
    <x v="1"/>
    <x v="1"/>
    <x v="1"/>
    <x v="1"/>
    <s v="No"/>
    <n v="0"/>
    <n v="0"/>
    <n v="5"/>
  </r>
  <r>
    <x v="224"/>
    <x v="215"/>
    <x v="0"/>
    <x v="223"/>
    <x v="1"/>
    <x v="0"/>
    <x v="0"/>
    <x v="0"/>
    <x v="0"/>
    <s v="Yes"/>
    <n v="20"/>
    <n v="20"/>
    <n v="45"/>
  </r>
  <r>
    <x v="225"/>
    <x v="216"/>
    <x v="2"/>
    <x v="224"/>
    <x v="0"/>
    <x v="2"/>
    <x v="2"/>
    <x v="1"/>
    <x v="1"/>
    <s v="Yes"/>
    <n v="20"/>
    <n v="15"/>
    <n v="15"/>
  </r>
  <r>
    <x v="226"/>
    <x v="217"/>
    <x v="1"/>
    <x v="225"/>
    <x v="1"/>
    <x v="1"/>
    <x v="0"/>
    <x v="1"/>
    <x v="1"/>
    <s v="No"/>
    <n v="0"/>
    <n v="1"/>
    <n v="4"/>
  </r>
  <r>
    <x v="227"/>
    <x v="218"/>
    <x v="0"/>
    <x v="226"/>
    <x v="0"/>
    <x v="0"/>
    <x v="1"/>
    <x v="0"/>
    <x v="0"/>
    <s v="Yes"/>
    <n v="20"/>
    <n v="3"/>
    <n v="62"/>
  </r>
  <r>
    <x v="228"/>
    <x v="219"/>
    <x v="2"/>
    <x v="227"/>
    <x v="1"/>
    <x v="2"/>
    <x v="0"/>
    <x v="1"/>
    <x v="1"/>
    <s v="Yes"/>
    <n v="20"/>
    <n v="10"/>
    <n v="20"/>
  </r>
  <r>
    <x v="229"/>
    <x v="127"/>
    <x v="1"/>
    <x v="228"/>
    <x v="0"/>
    <x v="1"/>
    <x v="2"/>
    <x v="1"/>
    <x v="1"/>
    <s v="No"/>
    <n v="0"/>
    <n v="0"/>
    <n v="5"/>
  </r>
  <r>
    <x v="230"/>
    <x v="220"/>
    <x v="0"/>
    <x v="229"/>
    <x v="1"/>
    <x v="0"/>
    <x v="0"/>
    <x v="0"/>
    <x v="0"/>
    <s v="Yes"/>
    <n v="20"/>
    <n v="15"/>
    <n v="50"/>
  </r>
  <r>
    <x v="231"/>
    <x v="221"/>
    <x v="2"/>
    <x v="230"/>
    <x v="0"/>
    <x v="2"/>
    <x v="1"/>
    <x v="1"/>
    <x v="1"/>
    <s v="Yes"/>
    <n v="20"/>
    <n v="15"/>
    <n v="15"/>
  </r>
  <r>
    <x v="232"/>
    <x v="222"/>
    <x v="1"/>
    <x v="231"/>
    <x v="1"/>
    <x v="1"/>
    <x v="0"/>
    <x v="1"/>
    <x v="1"/>
    <s v="No"/>
    <n v="0"/>
    <n v="1"/>
    <n v="4"/>
  </r>
  <r>
    <x v="233"/>
    <x v="223"/>
    <x v="0"/>
    <x v="232"/>
    <x v="0"/>
    <x v="0"/>
    <x v="2"/>
    <x v="0"/>
    <x v="0"/>
    <s v="Yes"/>
    <n v="20"/>
    <n v="7"/>
    <n v="58"/>
  </r>
  <r>
    <x v="234"/>
    <x v="224"/>
    <x v="2"/>
    <x v="233"/>
    <x v="1"/>
    <x v="2"/>
    <x v="0"/>
    <x v="1"/>
    <x v="1"/>
    <s v="Yes"/>
    <n v="20"/>
    <n v="10"/>
    <n v="20"/>
  </r>
  <r>
    <x v="235"/>
    <x v="225"/>
    <x v="1"/>
    <x v="234"/>
    <x v="0"/>
    <x v="1"/>
    <x v="1"/>
    <x v="1"/>
    <x v="1"/>
    <s v="No"/>
    <n v="0"/>
    <n v="0"/>
    <n v="5"/>
  </r>
  <r>
    <x v="236"/>
    <x v="226"/>
    <x v="0"/>
    <x v="235"/>
    <x v="1"/>
    <x v="0"/>
    <x v="0"/>
    <x v="0"/>
    <x v="0"/>
    <s v="Yes"/>
    <n v="20"/>
    <n v="15"/>
    <n v="50"/>
  </r>
  <r>
    <x v="237"/>
    <x v="227"/>
    <x v="2"/>
    <x v="236"/>
    <x v="0"/>
    <x v="2"/>
    <x v="2"/>
    <x v="1"/>
    <x v="1"/>
    <s v="Yes"/>
    <n v="20"/>
    <n v="12"/>
    <n v="18"/>
  </r>
  <r>
    <x v="238"/>
    <x v="228"/>
    <x v="1"/>
    <x v="237"/>
    <x v="1"/>
    <x v="1"/>
    <x v="0"/>
    <x v="1"/>
    <x v="1"/>
    <s v="No"/>
    <n v="0"/>
    <n v="2"/>
    <n v="3"/>
  </r>
  <r>
    <x v="239"/>
    <x v="229"/>
    <x v="0"/>
    <x v="238"/>
    <x v="0"/>
    <x v="0"/>
    <x v="1"/>
    <x v="0"/>
    <x v="0"/>
    <s v="Yes"/>
    <n v="20"/>
    <n v="5"/>
    <n v="60"/>
  </r>
  <r>
    <x v="240"/>
    <x v="230"/>
    <x v="2"/>
    <x v="239"/>
    <x v="1"/>
    <x v="2"/>
    <x v="0"/>
    <x v="1"/>
    <x v="1"/>
    <s v="Yes"/>
    <n v="20"/>
    <n v="10"/>
    <n v="20"/>
  </r>
  <r>
    <x v="241"/>
    <x v="231"/>
    <x v="1"/>
    <x v="240"/>
    <x v="0"/>
    <x v="1"/>
    <x v="2"/>
    <x v="1"/>
    <x v="1"/>
    <s v="No"/>
    <n v="0"/>
    <n v="0"/>
    <n v="5"/>
  </r>
  <r>
    <x v="242"/>
    <x v="140"/>
    <x v="0"/>
    <x v="241"/>
    <x v="1"/>
    <x v="0"/>
    <x v="0"/>
    <x v="0"/>
    <x v="0"/>
    <s v="Yes"/>
    <n v="20"/>
    <n v="3"/>
    <n v="62"/>
  </r>
  <r>
    <x v="243"/>
    <x v="232"/>
    <x v="2"/>
    <x v="242"/>
    <x v="0"/>
    <x v="2"/>
    <x v="1"/>
    <x v="1"/>
    <x v="1"/>
    <s v="Yes"/>
    <n v="20"/>
    <n v="15"/>
    <n v="15"/>
  </r>
  <r>
    <x v="244"/>
    <x v="233"/>
    <x v="1"/>
    <x v="243"/>
    <x v="1"/>
    <x v="1"/>
    <x v="0"/>
    <x v="1"/>
    <x v="1"/>
    <s v="No"/>
    <n v="0"/>
    <n v="1"/>
    <n v="4"/>
  </r>
  <r>
    <x v="245"/>
    <x v="234"/>
    <x v="0"/>
    <x v="244"/>
    <x v="0"/>
    <x v="0"/>
    <x v="2"/>
    <x v="0"/>
    <x v="0"/>
    <s v="Yes"/>
    <n v="20"/>
    <n v="7"/>
    <n v="58"/>
  </r>
  <r>
    <x v="246"/>
    <x v="235"/>
    <x v="2"/>
    <x v="245"/>
    <x v="1"/>
    <x v="2"/>
    <x v="0"/>
    <x v="1"/>
    <x v="1"/>
    <s v="Yes"/>
    <n v="20"/>
    <n v="10"/>
    <n v="20"/>
  </r>
  <r>
    <x v="247"/>
    <x v="236"/>
    <x v="1"/>
    <x v="246"/>
    <x v="0"/>
    <x v="1"/>
    <x v="1"/>
    <x v="1"/>
    <x v="1"/>
    <s v="No"/>
    <n v="0"/>
    <n v="0"/>
    <n v="5"/>
  </r>
  <r>
    <x v="248"/>
    <x v="237"/>
    <x v="0"/>
    <x v="247"/>
    <x v="1"/>
    <x v="0"/>
    <x v="0"/>
    <x v="0"/>
    <x v="0"/>
    <s v="Yes"/>
    <n v="20"/>
    <n v="20"/>
    <n v="45"/>
  </r>
  <r>
    <x v="249"/>
    <x v="238"/>
    <x v="2"/>
    <x v="248"/>
    <x v="0"/>
    <x v="2"/>
    <x v="2"/>
    <x v="1"/>
    <x v="1"/>
    <s v="Yes"/>
    <n v="20"/>
    <n v="15"/>
    <n v="15"/>
  </r>
  <r>
    <x v="250"/>
    <x v="239"/>
    <x v="1"/>
    <x v="249"/>
    <x v="1"/>
    <x v="1"/>
    <x v="0"/>
    <x v="1"/>
    <x v="1"/>
    <s v="No"/>
    <n v="0"/>
    <n v="1"/>
    <n v="4"/>
  </r>
  <r>
    <x v="251"/>
    <x v="240"/>
    <x v="0"/>
    <x v="250"/>
    <x v="0"/>
    <x v="0"/>
    <x v="1"/>
    <x v="0"/>
    <x v="0"/>
    <s v="Yes"/>
    <n v="20"/>
    <n v="3"/>
    <n v="62"/>
  </r>
  <r>
    <x v="252"/>
    <x v="241"/>
    <x v="2"/>
    <x v="251"/>
    <x v="1"/>
    <x v="2"/>
    <x v="0"/>
    <x v="1"/>
    <x v="1"/>
    <s v="Yes"/>
    <n v="20"/>
    <n v="10"/>
    <n v="20"/>
  </r>
  <r>
    <x v="253"/>
    <x v="242"/>
    <x v="1"/>
    <x v="252"/>
    <x v="0"/>
    <x v="1"/>
    <x v="2"/>
    <x v="1"/>
    <x v="1"/>
    <s v="No"/>
    <n v="0"/>
    <n v="0"/>
    <n v="5"/>
  </r>
  <r>
    <x v="254"/>
    <x v="243"/>
    <x v="0"/>
    <x v="253"/>
    <x v="1"/>
    <x v="0"/>
    <x v="0"/>
    <x v="0"/>
    <x v="0"/>
    <s v="Yes"/>
    <n v="20"/>
    <n v="15"/>
    <n v="50"/>
  </r>
  <r>
    <x v="255"/>
    <x v="244"/>
    <x v="1"/>
    <x v="254"/>
    <x v="0"/>
    <x v="1"/>
    <x v="0"/>
    <x v="1"/>
    <x v="1"/>
    <s v="No"/>
    <n v="0"/>
    <n v="0"/>
    <n v="5"/>
  </r>
  <r>
    <x v="256"/>
    <x v="245"/>
    <x v="0"/>
    <x v="255"/>
    <x v="1"/>
    <x v="0"/>
    <x v="2"/>
    <x v="0"/>
    <x v="0"/>
    <s v="Yes"/>
    <n v="20"/>
    <n v="7"/>
    <n v="58"/>
  </r>
  <r>
    <x v="257"/>
    <x v="246"/>
    <x v="2"/>
    <x v="256"/>
    <x v="0"/>
    <x v="2"/>
    <x v="1"/>
    <x v="1"/>
    <x v="1"/>
    <s v="Yes"/>
    <n v="20"/>
    <n v="10"/>
    <n v="20"/>
  </r>
  <r>
    <x v="258"/>
    <x v="247"/>
    <x v="1"/>
    <x v="257"/>
    <x v="1"/>
    <x v="1"/>
    <x v="2"/>
    <x v="1"/>
    <x v="1"/>
    <s v="No"/>
    <n v="0"/>
    <n v="1"/>
    <n v="4"/>
  </r>
  <r>
    <x v="259"/>
    <x v="248"/>
    <x v="0"/>
    <x v="258"/>
    <x v="0"/>
    <x v="0"/>
    <x v="0"/>
    <x v="0"/>
    <x v="0"/>
    <s v="Yes"/>
    <n v="20"/>
    <n v="15"/>
    <n v="50"/>
  </r>
  <r>
    <x v="260"/>
    <x v="249"/>
    <x v="2"/>
    <x v="259"/>
    <x v="1"/>
    <x v="2"/>
    <x v="0"/>
    <x v="1"/>
    <x v="1"/>
    <s v="Yes"/>
    <n v="20"/>
    <n v="5"/>
    <n v="25"/>
  </r>
  <r>
    <x v="261"/>
    <x v="250"/>
    <x v="1"/>
    <x v="260"/>
    <x v="0"/>
    <x v="1"/>
    <x v="1"/>
    <x v="1"/>
    <x v="1"/>
    <s v="No"/>
    <n v="0"/>
    <n v="0"/>
    <n v="5"/>
  </r>
  <r>
    <x v="262"/>
    <x v="251"/>
    <x v="0"/>
    <x v="261"/>
    <x v="1"/>
    <x v="0"/>
    <x v="2"/>
    <x v="0"/>
    <x v="0"/>
    <s v="Yes"/>
    <n v="20"/>
    <n v="20"/>
    <n v="45"/>
  </r>
  <r>
    <x v="263"/>
    <x v="252"/>
    <x v="2"/>
    <x v="262"/>
    <x v="0"/>
    <x v="2"/>
    <x v="2"/>
    <x v="1"/>
    <x v="1"/>
    <s v="Yes"/>
    <n v="20"/>
    <n v="12"/>
    <n v="18"/>
  </r>
  <r>
    <x v="264"/>
    <x v="253"/>
    <x v="1"/>
    <x v="263"/>
    <x v="1"/>
    <x v="1"/>
    <x v="0"/>
    <x v="1"/>
    <x v="1"/>
    <s v="No"/>
    <n v="0"/>
    <n v="2"/>
    <n v="3"/>
  </r>
  <r>
    <x v="265"/>
    <x v="254"/>
    <x v="0"/>
    <x v="264"/>
    <x v="0"/>
    <x v="0"/>
    <x v="1"/>
    <x v="0"/>
    <x v="0"/>
    <s v="Yes"/>
    <n v="20"/>
    <n v="5"/>
    <n v="60"/>
  </r>
  <r>
    <x v="266"/>
    <x v="255"/>
    <x v="2"/>
    <x v="265"/>
    <x v="1"/>
    <x v="2"/>
    <x v="0"/>
    <x v="1"/>
    <x v="1"/>
    <s v="Yes"/>
    <n v="20"/>
    <n v="10"/>
    <n v="20"/>
  </r>
  <r>
    <x v="267"/>
    <x v="256"/>
    <x v="1"/>
    <x v="266"/>
    <x v="0"/>
    <x v="1"/>
    <x v="2"/>
    <x v="1"/>
    <x v="1"/>
    <s v="No"/>
    <n v="0"/>
    <n v="0"/>
    <n v="5"/>
  </r>
  <r>
    <x v="268"/>
    <x v="257"/>
    <x v="0"/>
    <x v="267"/>
    <x v="1"/>
    <x v="0"/>
    <x v="0"/>
    <x v="0"/>
    <x v="0"/>
    <s v="Yes"/>
    <n v="20"/>
    <n v="3"/>
    <n v="62"/>
  </r>
  <r>
    <x v="269"/>
    <x v="258"/>
    <x v="2"/>
    <x v="268"/>
    <x v="0"/>
    <x v="2"/>
    <x v="1"/>
    <x v="1"/>
    <x v="1"/>
    <s v="Yes"/>
    <n v="20"/>
    <n v="15"/>
    <n v="15"/>
  </r>
  <r>
    <x v="270"/>
    <x v="259"/>
    <x v="1"/>
    <x v="269"/>
    <x v="1"/>
    <x v="1"/>
    <x v="0"/>
    <x v="1"/>
    <x v="1"/>
    <s v="No"/>
    <n v="0"/>
    <n v="1"/>
    <n v="4"/>
  </r>
  <r>
    <x v="271"/>
    <x v="260"/>
    <x v="0"/>
    <x v="270"/>
    <x v="0"/>
    <x v="0"/>
    <x v="2"/>
    <x v="0"/>
    <x v="0"/>
    <s v="Yes"/>
    <n v="20"/>
    <n v="7"/>
    <n v="58"/>
  </r>
  <r>
    <x v="272"/>
    <x v="119"/>
    <x v="2"/>
    <x v="271"/>
    <x v="1"/>
    <x v="2"/>
    <x v="0"/>
    <x v="1"/>
    <x v="1"/>
    <s v="Yes"/>
    <n v="20"/>
    <n v="10"/>
    <n v="20"/>
  </r>
  <r>
    <x v="273"/>
    <x v="261"/>
    <x v="1"/>
    <x v="272"/>
    <x v="0"/>
    <x v="1"/>
    <x v="1"/>
    <x v="1"/>
    <x v="1"/>
    <s v="No"/>
    <n v="0"/>
    <n v="0"/>
    <n v="5"/>
  </r>
  <r>
    <x v="274"/>
    <x v="262"/>
    <x v="0"/>
    <x v="273"/>
    <x v="1"/>
    <x v="0"/>
    <x v="0"/>
    <x v="0"/>
    <x v="0"/>
    <s v="Yes"/>
    <n v="20"/>
    <n v="20"/>
    <n v="45"/>
  </r>
  <r>
    <x v="275"/>
    <x v="263"/>
    <x v="2"/>
    <x v="274"/>
    <x v="0"/>
    <x v="2"/>
    <x v="2"/>
    <x v="1"/>
    <x v="1"/>
    <s v="Yes"/>
    <n v="20"/>
    <n v="15"/>
    <n v="15"/>
  </r>
  <r>
    <x v="276"/>
    <x v="264"/>
    <x v="1"/>
    <x v="275"/>
    <x v="1"/>
    <x v="1"/>
    <x v="0"/>
    <x v="1"/>
    <x v="1"/>
    <s v="No"/>
    <n v="0"/>
    <n v="1"/>
    <n v="4"/>
  </r>
  <r>
    <x v="277"/>
    <x v="265"/>
    <x v="0"/>
    <x v="276"/>
    <x v="0"/>
    <x v="0"/>
    <x v="1"/>
    <x v="0"/>
    <x v="0"/>
    <s v="Yes"/>
    <n v="20"/>
    <n v="3"/>
    <n v="62"/>
  </r>
  <r>
    <x v="278"/>
    <x v="266"/>
    <x v="2"/>
    <x v="277"/>
    <x v="1"/>
    <x v="2"/>
    <x v="0"/>
    <x v="1"/>
    <x v="1"/>
    <s v="Yes"/>
    <n v="20"/>
    <n v="10"/>
    <n v="20"/>
  </r>
  <r>
    <x v="279"/>
    <x v="267"/>
    <x v="1"/>
    <x v="278"/>
    <x v="0"/>
    <x v="1"/>
    <x v="2"/>
    <x v="1"/>
    <x v="1"/>
    <s v="No"/>
    <n v="0"/>
    <n v="0"/>
    <n v="5"/>
  </r>
  <r>
    <x v="280"/>
    <x v="268"/>
    <x v="0"/>
    <x v="279"/>
    <x v="1"/>
    <x v="0"/>
    <x v="0"/>
    <x v="0"/>
    <x v="0"/>
    <s v="Yes"/>
    <n v="20"/>
    <n v="15"/>
    <n v="50"/>
  </r>
  <r>
    <x v="281"/>
    <x v="269"/>
    <x v="2"/>
    <x v="280"/>
    <x v="0"/>
    <x v="2"/>
    <x v="1"/>
    <x v="1"/>
    <x v="1"/>
    <s v="Yes"/>
    <n v="20"/>
    <n v="15"/>
    <n v="15"/>
  </r>
  <r>
    <x v="282"/>
    <x v="270"/>
    <x v="1"/>
    <x v="281"/>
    <x v="1"/>
    <x v="1"/>
    <x v="0"/>
    <x v="1"/>
    <x v="1"/>
    <s v="No"/>
    <n v="0"/>
    <n v="1"/>
    <n v="4"/>
  </r>
  <r>
    <x v="283"/>
    <x v="271"/>
    <x v="0"/>
    <x v="282"/>
    <x v="0"/>
    <x v="0"/>
    <x v="2"/>
    <x v="0"/>
    <x v="0"/>
    <s v="Yes"/>
    <n v="20"/>
    <n v="7"/>
    <n v="58"/>
  </r>
  <r>
    <x v="284"/>
    <x v="130"/>
    <x v="2"/>
    <x v="283"/>
    <x v="1"/>
    <x v="2"/>
    <x v="0"/>
    <x v="1"/>
    <x v="1"/>
    <s v="Yes"/>
    <n v="20"/>
    <n v="10"/>
    <n v="20"/>
  </r>
  <r>
    <x v="285"/>
    <x v="131"/>
    <x v="1"/>
    <x v="284"/>
    <x v="0"/>
    <x v="1"/>
    <x v="1"/>
    <x v="1"/>
    <x v="1"/>
    <s v="No"/>
    <n v="0"/>
    <n v="0"/>
    <n v="5"/>
  </r>
  <r>
    <x v="286"/>
    <x v="181"/>
    <x v="0"/>
    <x v="285"/>
    <x v="1"/>
    <x v="0"/>
    <x v="0"/>
    <x v="0"/>
    <x v="0"/>
    <s v="Yes"/>
    <n v="20"/>
    <n v="20"/>
    <n v="45"/>
  </r>
  <r>
    <x v="287"/>
    <x v="272"/>
    <x v="2"/>
    <x v="286"/>
    <x v="0"/>
    <x v="2"/>
    <x v="2"/>
    <x v="1"/>
    <x v="1"/>
    <s v="Yes"/>
    <n v="20"/>
    <n v="12"/>
    <n v="18"/>
  </r>
  <r>
    <x v="288"/>
    <x v="273"/>
    <x v="1"/>
    <x v="287"/>
    <x v="1"/>
    <x v="1"/>
    <x v="0"/>
    <x v="1"/>
    <x v="1"/>
    <s v="No"/>
    <n v="0"/>
    <n v="2"/>
    <n v="3"/>
  </r>
  <r>
    <x v="289"/>
    <x v="274"/>
    <x v="0"/>
    <x v="288"/>
    <x v="0"/>
    <x v="0"/>
    <x v="1"/>
    <x v="0"/>
    <x v="0"/>
    <s v="Yes"/>
    <n v="20"/>
    <n v="5"/>
    <n v="60"/>
  </r>
  <r>
    <x v="290"/>
    <x v="275"/>
    <x v="2"/>
    <x v="289"/>
    <x v="1"/>
    <x v="2"/>
    <x v="0"/>
    <x v="1"/>
    <x v="1"/>
    <s v="Yes"/>
    <n v="20"/>
    <n v="10"/>
    <n v="20"/>
  </r>
  <r>
    <x v="291"/>
    <x v="276"/>
    <x v="1"/>
    <x v="290"/>
    <x v="0"/>
    <x v="1"/>
    <x v="2"/>
    <x v="1"/>
    <x v="1"/>
    <s v="No"/>
    <n v="0"/>
    <n v="0"/>
    <n v="5"/>
  </r>
  <r>
    <x v="292"/>
    <x v="277"/>
    <x v="0"/>
    <x v="291"/>
    <x v="1"/>
    <x v="0"/>
    <x v="0"/>
    <x v="0"/>
    <x v="0"/>
    <s v="Yes"/>
    <n v="20"/>
    <n v="3"/>
    <n v="62"/>
  </r>
  <r>
    <x v="293"/>
    <x v="278"/>
    <x v="2"/>
    <x v="292"/>
    <x v="0"/>
    <x v="2"/>
    <x v="1"/>
    <x v="1"/>
    <x v="1"/>
    <s v="Yes"/>
    <n v="20"/>
    <n v="15"/>
    <n v="15"/>
  </r>
  <r>
    <x v="294"/>
    <x v="279"/>
    <x v="1"/>
    <x v="293"/>
    <x v="1"/>
    <x v="1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31AAFD-36FB-4CFC-9D4A-39271C7BD9FE}" name="tbl_menicraft_seasonpass_price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28:D32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2" baseItem="1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57886-B4CF-4D20-B9CA-ABDDAF87A304}" name="tb_ea_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18:D22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DA69D-0F3C-4CC1-9E67-BD61EA441648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C8:D11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4" baseItem="0" numFmtId="4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BA21D-897C-48B2-BF4E-E494631B59F1}" name="subscritions_plan_period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38:D42" firstHeaderRow="1" firstDataRow="1" firstDataCol="1" rowPageCount="1" colPageCount="1"/>
  <pivotFields count="15">
    <pivotField dataField="1" showAll="0" countASubtotal="1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countA"/>
      </items>
    </pivotField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4" hier="-1"/>
  </pageFields>
  <dataFields count="1">
    <dataField name="Contagem de Subscriber 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B1B793-6BC3-4D1C-B211-FE87680F7AC7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C60:G73" firstHeaderRow="1" firstDataRow="2" firstDataCol="1" rowPageCount="2" colPageCount="1"/>
  <pivotFields count="15">
    <pivotField showAll="0"/>
    <pivotField showAll="0"/>
    <pivotField axis="axisPage" multipleItemSelectionAllowed="1" showAll="0">
      <items count="4">
        <item h="1" x="1"/>
        <item h="1"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Page" showAll="0">
      <items count="3">
        <item x="1"/>
        <item x="0"/>
        <item t="default"/>
      </items>
    </pivotField>
    <pivotField numFmtId="44"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4"/>
  </rowFields>
  <rowItems count="12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pageFields count="2">
    <pageField fld="2" hier="-1"/>
    <pageField fld="4" item="1" hier="-1"/>
  </pageFields>
  <dataFields count="1">
    <dataField name="Média de Total Value" fld="12" subtotal="average" baseField="14" baseItem="1" numFmtId="164"/>
  </dataFields>
  <formats count="3">
    <format dxfId="0">
      <pivotArea type="all" dataOnly="0" outline="0" fieldPosition="0"/>
    </format>
    <format dxfId="1">
      <pivotArea dataOnly="0" outline="0" fieldPosition="0">
        <references count="1">
          <reference field="6" count="1">
            <x v="0"/>
          </reference>
        </references>
      </pivotArea>
    </format>
    <format dxfId="2">
      <pivotArea type="all" dataOnly="0" outline="0" fieldPosition="0"/>
    </format>
  </formats>
  <chartFormats count="3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3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3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4" count="1" selected="0">
            <x v="3"/>
          </reference>
        </references>
      </pivotArea>
    </chartFormat>
    <chartFormat chart="9" format="38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4" count="1" selected="0">
            <x v="4"/>
          </reference>
        </references>
      </pivotArea>
    </chartFormat>
    <chartFormat chart="9" format="39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4" count="1" selected="0">
            <x v="5"/>
          </reference>
        </references>
      </pivotArea>
    </chartFormat>
    <chartFormat chart="9" format="40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4" count="1" selected="0">
            <x v="6"/>
          </reference>
        </references>
      </pivotArea>
    </chartFormat>
    <chartFormat chart="9" format="4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4" count="1" selected="0">
            <x v="7"/>
          </reference>
        </references>
      </pivotArea>
    </chartFormat>
    <chartFormat chart="9" format="42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4" count="1" selected="0">
            <x v="8"/>
          </reference>
        </references>
      </pivotArea>
    </chartFormat>
    <chartFormat chart="9" format="43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4" count="1" selected="0">
            <x v="9"/>
          </reference>
        </references>
      </pivotArea>
    </chartFormat>
    <chartFormat chart="9" format="44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4" count="1" selected="0">
            <x v="10"/>
          </reference>
        </references>
      </pivotArea>
    </chartFormat>
    <chartFormat chart="9" format="45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4" count="1" selected="0">
            <x v="11"/>
          </reference>
        </references>
      </pivotArea>
    </chartFormat>
    <chartFormat chart="9" format="46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4" count="1" selected="0">
            <x v="12"/>
          </reference>
        </references>
      </pivotArea>
    </chartFormat>
    <chartFormat chart="9" format="4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4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4" count="1" selected="0">
            <x v="3"/>
          </reference>
        </references>
      </pivotArea>
    </chartFormat>
    <chartFormat chart="9" format="49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4" count="1" selected="0">
            <x v="4"/>
          </reference>
        </references>
      </pivotArea>
    </chartFormat>
    <chartFormat chart="9" format="50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4" count="1" selected="0">
            <x v="5"/>
          </reference>
        </references>
      </pivotArea>
    </chartFormat>
    <chartFormat chart="9" format="5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4" count="1" selected="0">
            <x v="6"/>
          </reference>
        </references>
      </pivotArea>
    </chartFormat>
    <chartFormat chart="9" format="52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4" count="1" selected="0">
            <x v="7"/>
          </reference>
        </references>
      </pivotArea>
    </chartFormat>
    <chartFormat chart="9" format="53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4" count="1" selected="0">
            <x v="8"/>
          </reference>
        </references>
      </pivotArea>
    </chartFormat>
    <chartFormat chart="9" format="54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4" count="1" selected="0">
            <x v="9"/>
          </reference>
        </references>
      </pivotArea>
    </chartFormat>
    <chartFormat chart="9" format="55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4" count="1" selected="0">
            <x v="10"/>
          </reference>
        </references>
      </pivotArea>
    </chartFormat>
    <chartFormat chart="9" format="5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4" count="1" selected="0">
            <x v="11"/>
          </reference>
        </references>
      </pivotArea>
    </chartFormat>
    <chartFormat chart="9" format="57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4" count="1" selected="0">
            <x v="12"/>
          </reference>
        </references>
      </pivotArea>
    </chartFormat>
    <chartFormat chart="9" format="5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59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4" count="1" selected="0">
            <x v="3"/>
          </reference>
        </references>
      </pivotArea>
    </chartFormat>
    <chartFormat chart="9" format="60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4" count="1" selected="0">
            <x v="4"/>
          </reference>
        </references>
      </pivotArea>
    </chartFormat>
    <chartFormat chart="9" format="6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4" count="1" selected="0">
            <x v="5"/>
          </reference>
        </references>
      </pivotArea>
    </chartFormat>
    <chartFormat chart="9" format="62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4" count="1" selected="0">
            <x v="6"/>
          </reference>
        </references>
      </pivotArea>
    </chartFormat>
    <chartFormat chart="9" format="63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4" count="1" selected="0">
            <x v="7"/>
          </reference>
        </references>
      </pivotArea>
    </chartFormat>
    <chartFormat chart="9" format="64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4" count="1" selected="0">
            <x v="8"/>
          </reference>
        </references>
      </pivotArea>
    </chartFormat>
    <chartFormat chart="9" format="65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4" count="1" selected="0">
            <x v="9"/>
          </reference>
        </references>
      </pivotArea>
    </chartFormat>
    <chartFormat chart="9" format="66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4" count="1" selected="0">
            <x v="10"/>
          </reference>
        </references>
      </pivotArea>
    </chartFormat>
    <chartFormat chart="9" format="67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4" count="1" selected="0">
            <x v="11"/>
          </reference>
        </references>
      </pivotArea>
    </chartFormat>
    <chartFormat chart="9" format="68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4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6A1A542-7117-445E-9377-48C5B10671D2}" sourceName="Subscription Type">
  <pivotTables>
    <pivotTable tabId="3" name="tbl_annual_total"/>
    <pivotTable tabId="3" name="tb_ea_seasonpass_total"/>
    <pivotTable tabId="3" name="tbl_menicraft_seasonpass_pricetotal"/>
  </pivotTables>
  <data>
    <tabular pivotCacheId="1586888761">
      <items count="3">
        <i x="1"/>
        <i x="0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9FD9F7E4-8818-4B3D-A609-89BF2E7D55B5}" sourceName="Plan">
  <pivotTables>
    <pivotTable tabId="3" name="Tabela dinâmica6"/>
  </pivotTables>
  <data>
    <tabular pivotCacheId="1586888761">
      <items count="3">
        <i x="1"/>
        <i x="2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A6C88E38-F2A1-4E14-BC1A-AAD73BE77CC6}" sourceName="Auto Renewal">
  <pivotTables>
    <pivotTable tabId="3" name="Tabela dinâmica6"/>
  </pivotTables>
  <data>
    <tabular pivotCacheId="1586888761">
      <items count="2">
        <i x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ECE0265-F616-452E-9F74-EE24D0BBF79B}" cache="SegmentaçãodeDados_Subscription_Type" caption="Subscription Type" style="SlicerStyleLight6" rowHeight="247650"/>
  <slicer name="Plan" xr10:uid="{0E9CB442-2DC7-4E3F-BC64-14F7050C6E0F}" cache="SegmentaçãodeDados_Plan" caption="Plan" rowHeight="247650"/>
  <slicer name="Auto Renewal" xr10:uid="{0BCEBF9E-708F-4606-A11C-A013F3439850}" cache="SegmentaçãodeDados_Auto_Renewal" caption="Auto Renewal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9D1DAFBF-4896-4277-B011-201621913372}" cache="SegmentaçãodeDados_Subscription_Type" caption="Subscription Type" style="SlicerStyleLight6 2" rowHeight="247650"/>
  <slicer name="Plan 1" xr10:uid="{71935670-9C84-46E6-BDE4-D01F3B6E2FC6}" cache="SegmentaçãodeDados_Plan" caption="Plan" style="SlicerStyleLight6 2" rowHeight="247650"/>
  <slicer name="Auto Renewal 1" xr10:uid="{8B5E618C-489E-47EE-B05C-B4966F7F96BD}" cache="SegmentaçãodeDados_Auto_Renewal" caption="Auto Renewal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N296" totalsRowShown="0" dataDxfId="19">
  <autoFilter ref="A1:N296" xr:uid="{34E0E886-4200-4B36-97B3-63DB74FF40A0}">
    <filterColumn colId="7">
      <filters>
        <filter val="Yes"/>
      </filters>
    </filterColumn>
  </autoFilter>
  <tableColumns count="14">
    <tableColumn id="1" xr3:uid="{C4A90516-688A-46BF-9167-EA16C2A8A652}" name="Subscriber ID" dataDxfId="18"/>
    <tableColumn id="2" xr3:uid="{53DD39D0-2220-4121-9E9D-4EAA7E151C0F}" name="Name" dataDxfId="17"/>
    <tableColumn id="3" xr3:uid="{4F5FF271-4C57-4BE0-8F2C-F82C8551625C}" name="Plan" dataDxfId="16"/>
    <tableColumn id="4" xr3:uid="{8C17EB93-79B9-4E55-B8F7-BEB82F8253E9}" name="Start Date" dataDxfId="15"/>
    <tableColumn id="5" xr3:uid="{48CEDF9B-1689-482A-A828-5CCE7713264A}" name="Auto Renewal" dataDxfId="14"/>
    <tableColumn id="6" xr3:uid="{78B82374-9AA7-4E38-AE4F-78CDE6C83720}" name="Subscription Price" dataDxfId="13" dataCellStyle="Moeda"/>
    <tableColumn id="7" xr3:uid="{F2433F68-AF33-49D0-B1FB-19A396074EDE}" name="Subscription Type" dataDxfId="12"/>
    <tableColumn id="8" xr3:uid="{FD4D9C95-F6E5-4933-9068-A71FF7DF9343}" name="EA Play Season Pass" dataDxfId="11"/>
    <tableColumn id="13" xr3:uid="{978DD0D2-834E-4CE4-A39B-30976086932F}" name="EA Play Season Pass_x000a_Price" dataDxfId="10" dataCellStyle="Moeda"/>
    <tableColumn id="9" xr3:uid="{6E29F111-C395-4580-9DAD-3407D9E8B1A4}" name="Minecraft Season Pass" dataDxfId="9"/>
    <tableColumn id="10" xr3:uid="{EF544EAA-7F25-4FD5-A10E-8E62804DB9E3}" name="Minecraft Season Pass Price" dataDxfId="8" dataCellStyle="Moeda"/>
    <tableColumn id="11" xr3:uid="{7F6EB64A-1F07-4E48-9F0F-AC7D9DCD26F8}" name="Coupon Value" dataDxfId="7" dataCellStyle="Moeda"/>
    <tableColumn id="12" xr3:uid="{2B04ABC8-DE6F-426E-ADC0-D8AFC68CA58E}" name="Total Value" dataDxfId="6" dataCellStyle="Moeda"/>
    <tableColumn id="14" xr3:uid="{303D3FB2-B604-442A-B1B8-A0C522C4A700}" name="Status" dataDxfId="5" dataCellStyle="Moeda">
      <calculatedColumnFormula>IF(Tabela1[[#This Row],[Auto Renewal]]="Não","Cancelada","Ativa")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E27" sqref="E27"/>
    </sheetView>
  </sheetViews>
  <sheetFormatPr defaultRowHeight="14.4"/>
  <cols>
    <col min="9" max="9" width="3.5546875" customWidth="1"/>
  </cols>
  <sheetData>
    <row r="3" spans="2:16" ht="20.399999999999999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399999999999999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N296"/>
  <sheetViews>
    <sheetView topLeftCell="A2" zoomScale="90" zoomScaleNormal="90" workbookViewId="0">
      <selection sqref="A1:N294"/>
    </sheetView>
  </sheetViews>
  <sheetFormatPr defaultRowHeight="14.4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4" ht="28.8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  <c r="N1" t="s">
        <v>324</v>
      </c>
    </row>
    <row r="2" spans="1:14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  <c r="N2" s="11" t="str">
        <f>IF(Tabela1[[#This Row],[Auto Renewal]]="Não","Cancelada","Ativa")</f>
        <v>Ativa</v>
      </c>
    </row>
    <row r="3" spans="1:14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  <c r="N3" s="11" t="str">
        <f>IF(Tabela1[[#This Row],[Auto Renewal]]="Não","Cancelada","Ativa")</f>
        <v>Ativa</v>
      </c>
    </row>
    <row r="4" spans="1:14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  <c r="N4" s="11" t="str">
        <f>IF(Tabela1[[#This Row],[Auto Renewal]]="Não","Cancelada","Ativa")</f>
        <v>Ativa</v>
      </c>
    </row>
    <row r="5" spans="1:14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  <c r="N5" s="11" t="str">
        <f>IF(Tabela1[[#This Row],[Auto Renewal]]="Não","Cancelada","Ativa")</f>
        <v>Ativa</v>
      </c>
    </row>
    <row r="6" spans="1:14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  <c r="N6" s="11" t="str">
        <f>IF(Tabela1[[#This Row],[Auto Renewal]]="Não","Cancelada","Ativa")</f>
        <v>Ativa</v>
      </c>
    </row>
    <row r="7" spans="1:14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  <c r="N7" s="11" t="str">
        <f>IF(Tabela1[[#This Row],[Auto Renewal]]="Não","Cancelada","Ativa")</f>
        <v>Ativa</v>
      </c>
    </row>
    <row r="8" spans="1:14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  <c r="N8" s="11" t="str">
        <f>IF(Tabela1[[#This Row],[Auto Renewal]]="Não","Cancelada","Ativa")</f>
        <v>Ativa</v>
      </c>
    </row>
    <row r="9" spans="1:14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  <c r="N9" s="11" t="str">
        <f>IF(Tabela1[[#This Row],[Auto Renewal]]="Não","Cancelada","Ativa")</f>
        <v>Ativa</v>
      </c>
    </row>
    <row r="10" spans="1:14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  <c r="N10" s="11" t="str">
        <f>IF(Tabela1[[#This Row],[Auto Renewal]]="Não","Cancelada","Ativa")</f>
        <v>Ativa</v>
      </c>
    </row>
    <row r="11" spans="1:14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  <c r="N11" s="11" t="str">
        <f>IF(Tabela1[[#This Row],[Auto Renewal]]="Não","Cancelada","Ativa")</f>
        <v>Ativa</v>
      </c>
    </row>
    <row r="12" spans="1:14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  <c r="N12" s="11" t="str">
        <f>IF(Tabela1[[#This Row],[Auto Renewal]]="Não","Cancelada","Ativa")</f>
        <v>Ativa</v>
      </c>
    </row>
    <row r="13" spans="1:14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  <c r="N13" s="11" t="str">
        <f>IF(Tabela1[[#This Row],[Auto Renewal]]="Não","Cancelada","Ativa")</f>
        <v>Ativa</v>
      </c>
    </row>
    <row r="14" spans="1:14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  <c r="N14" s="11" t="str">
        <f>IF(Tabela1[[#This Row],[Auto Renewal]]="Não","Cancelada","Ativa")</f>
        <v>Ativa</v>
      </c>
    </row>
    <row r="15" spans="1:14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  <c r="N15" s="11" t="str">
        <f>IF(Tabela1[[#This Row],[Auto Renewal]]="Não","Cancelada","Ativa")</f>
        <v>Ativa</v>
      </c>
    </row>
    <row r="16" spans="1:14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  <c r="N16" s="11" t="str">
        <f>IF(Tabela1[[#This Row],[Auto Renewal]]="Não","Cancelada","Ativa")</f>
        <v>Ativa</v>
      </c>
    </row>
    <row r="17" spans="1:14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  <c r="N17" s="11" t="str">
        <f>IF(Tabela1[[#This Row],[Auto Renewal]]="Não","Cancelada","Ativa")</f>
        <v>Ativa</v>
      </c>
    </row>
    <row r="18" spans="1:14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  <c r="N18" s="11" t="str">
        <f>IF(Tabela1[[#This Row],[Auto Renewal]]="Não","Cancelada","Ativa")</f>
        <v>Ativa</v>
      </c>
    </row>
    <row r="19" spans="1:14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  <c r="N19" s="11" t="str">
        <f>IF(Tabela1[[#This Row],[Auto Renewal]]="Não","Cancelada","Ativa")</f>
        <v>Ativa</v>
      </c>
    </row>
    <row r="20" spans="1:14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  <c r="N20" s="11" t="str">
        <f>IF(Tabela1[[#This Row],[Auto Renewal]]="Não","Cancelada","Ativa")</f>
        <v>Ativa</v>
      </c>
    </row>
    <row r="21" spans="1:14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  <c r="N21" s="11" t="str">
        <f>IF(Tabela1[[#This Row],[Auto Renewal]]="Não","Cancelada","Ativa")</f>
        <v>Ativa</v>
      </c>
    </row>
    <row r="22" spans="1:14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  <c r="N22" s="11" t="str">
        <f>IF(Tabela1[[#This Row],[Auto Renewal]]="Não","Cancelada","Ativa")</f>
        <v>Ativa</v>
      </c>
    </row>
    <row r="23" spans="1:14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  <c r="N23" s="11" t="str">
        <f>IF(Tabela1[[#This Row],[Auto Renewal]]="Não","Cancelada","Ativa")</f>
        <v>Ativa</v>
      </c>
    </row>
    <row r="24" spans="1:14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  <c r="N24" s="11" t="str">
        <f>IF(Tabela1[[#This Row],[Auto Renewal]]="Não","Cancelada","Ativa")</f>
        <v>Ativa</v>
      </c>
    </row>
    <row r="25" spans="1:14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  <c r="N25" s="11" t="str">
        <f>IF(Tabela1[[#This Row],[Auto Renewal]]="Não","Cancelada","Ativa")</f>
        <v>Ativa</v>
      </c>
    </row>
    <row r="26" spans="1:14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  <c r="N26" s="11" t="str">
        <f>IF(Tabela1[[#This Row],[Auto Renewal]]="Não","Cancelada","Ativa")</f>
        <v>Ativa</v>
      </c>
    </row>
    <row r="27" spans="1:14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  <c r="N27" s="11" t="str">
        <f>IF(Tabela1[[#This Row],[Auto Renewal]]="Não","Cancelada","Ativa")</f>
        <v>Ativa</v>
      </c>
    </row>
    <row r="28" spans="1:14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  <c r="N28" s="11" t="str">
        <f>IF(Tabela1[[#This Row],[Auto Renewal]]="Não","Cancelada","Ativa")</f>
        <v>Ativa</v>
      </c>
    </row>
    <row r="29" spans="1:14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  <c r="N29" s="11" t="str">
        <f>IF(Tabela1[[#This Row],[Auto Renewal]]="Não","Cancelada","Ativa")</f>
        <v>Ativa</v>
      </c>
    </row>
    <row r="30" spans="1:14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  <c r="N30" s="11" t="str">
        <f>IF(Tabela1[[#This Row],[Auto Renewal]]="Não","Cancelada","Ativa")</f>
        <v>Ativa</v>
      </c>
    </row>
    <row r="31" spans="1:14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  <c r="N31" s="11" t="str">
        <f>IF(Tabela1[[#This Row],[Auto Renewal]]="Não","Cancelada","Ativa")</f>
        <v>Ativa</v>
      </c>
    </row>
    <row r="32" spans="1:14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  <c r="N32" s="11" t="str">
        <f>IF(Tabela1[[#This Row],[Auto Renewal]]="Não","Cancelada","Ativa")</f>
        <v>Ativa</v>
      </c>
    </row>
    <row r="33" spans="1:14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  <c r="N33" s="11" t="str">
        <f>IF(Tabela1[[#This Row],[Auto Renewal]]="Não","Cancelada","Ativa")</f>
        <v>Ativa</v>
      </c>
    </row>
    <row r="34" spans="1:14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  <c r="N34" s="11" t="str">
        <f>IF(Tabela1[[#This Row],[Auto Renewal]]="Não","Cancelada","Ativa")</f>
        <v>Ativa</v>
      </c>
    </row>
    <row r="35" spans="1:14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  <c r="N35" s="11" t="str">
        <f>IF(Tabela1[[#This Row],[Auto Renewal]]="Não","Cancelada","Ativa")</f>
        <v>Ativa</v>
      </c>
    </row>
    <row r="36" spans="1:14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  <c r="N36" s="11" t="str">
        <f>IF(Tabela1[[#This Row],[Auto Renewal]]="Não","Cancelada","Ativa")</f>
        <v>Ativa</v>
      </c>
    </row>
    <row r="37" spans="1:14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  <c r="N37" s="11" t="str">
        <f>IF(Tabela1[[#This Row],[Auto Renewal]]="Não","Cancelada","Ativa")</f>
        <v>Ativa</v>
      </c>
    </row>
    <row r="38" spans="1:14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  <c r="N38" s="11" t="str">
        <f>IF(Tabela1[[#This Row],[Auto Renewal]]="Não","Cancelada","Ativa")</f>
        <v>Ativa</v>
      </c>
    </row>
    <row r="39" spans="1:14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  <c r="N39" s="11" t="str">
        <f>IF(Tabela1[[#This Row],[Auto Renewal]]="Não","Cancelada","Ativa")</f>
        <v>Ativa</v>
      </c>
    </row>
    <row r="40" spans="1:14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  <c r="N40" s="11" t="str">
        <f>IF(Tabela1[[#This Row],[Auto Renewal]]="Não","Cancelada","Ativa")</f>
        <v>Ativa</v>
      </c>
    </row>
    <row r="41" spans="1:14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  <c r="N41" s="11" t="str">
        <f>IF(Tabela1[[#This Row],[Auto Renewal]]="Não","Cancelada","Ativa")</f>
        <v>Ativa</v>
      </c>
    </row>
    <row r="42" spans="1:14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  <c r="N42" s="11" t="str">
        <f>IF(Tabela1[[#This Row],[Auto Renewal]]="Não","Cancelada","Ativa")</f>
        <v>Ativa</v>
      </c>
    </row>
    <row r="43" spans="1:14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  <c r="N43" s="11" t="str">
        <f>IF(Tabela1[[#This Row],[Auto Renewal]]="Não","Cancelada","Ativa")</f>
        <v>Ativa</v>
      </c>
    </row>
    <row r="44" spans="1:14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  <c r="N44" s="11" t="str">
        <f>IF(Tabela1[[#This Row],[Auto Renewal]]="Não","Cancelada","Ativa")</f>
        <v>Ativa</v>
      </c>
    </row>
    <row r="45" spans="1:14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  <c r="N45" s="11" t="str">
        <f>IF(Tabela1[[#This Row],[Auto Renewal]]="Não","Cancelada","Ativa")</f>
        <v>Ativa</v>
      </c>
    </row>
    <row r="46" spans="1:14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  <c r="N46" s="11" t="str">
        <f>IF(Tabela1[[#This Row],[Auto Renewal]]="Não","Cancelada","Ativa")</f>
        <v>Ativa</v>
      </c>
    </row>
    <row r="47" spans="1:14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  <c r="N47" s="11" t="str">
        <f>IF(Tabela1[[#This Row],[Auto Renewal]]="Não","Cancelada","Ativa")</f>
        <v>Ativa</v>
      </c>
    </row>
    <row r="48" spans="1:14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  <c r="N48" s="11" t="str">
        <f>IF(Tabela1[[#This Row],[Auto Renewal]]="Não","Cancelada","Ativa")</f>
        <v>Ativa</v>
      </c>
    </row>
    <row r="49" spans="1:14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  <c r="N49" s="11" t="str">
        <f>IF(Tabela1[[#This Row],[Auto Renewal]]="Não","Cancelada","Ativa")</f>
        <v>Ativa</v>
      </c>
    </row>
    <row r="50" spans="1:14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  <c r="N50" s="11" t="str">
        <f>IF(Tabela1[[#This Row],[Auto Renewal]]="Não","Cancelada","Ativa")</f>
        <v>Ativa</v>
      </c>
    </row>
    <row r="51" spans="1:14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  <c r="N51" s="11" t="str">
        <f>IF(Tabela1[[#This Row],[Auto Renewal]]="Não","Cancelada","Ativa")</f>
        <v>Ativa</v>
      </c>
    </row>
    <row r="52" spans="1:14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  <c r="N52" s="11" t="str">
        <f>IF(Tabela1[[#This Row],[Auto Renewal]]="Não","Cancelada","Ativa")</f>
        <v>Ativa</v>
      </c>
    </row>
    <row r="53" spans="1:14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  <c r="N53" s="11" t="str">
        <f>IF(Tabela1[[#This Row],[Auto Renewal]]="Não","Cancelada","Ativa")</f>
        <v>Ativa</v>
      </c>
    </row>
    <row r="54" spans="1:14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  <c r="N54" s="11" t="str">
        <f>IF(Tabela1[[#This Row],[Auto Renewal]]="Não","Cancelada","Ativa")</f>
        <v>Ativa</v>
      </c>
    </row>
    <row r="55" spans="1:14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  <c r="N55" s="11" t="str">
        <f>IF(Tabela1[[#This Row],[Auto Renewal]]="Não","Cancelada","Ativa")</f>
        <v>Ativa</v>
      </c>
    </row>
    <row r="56" spans="1:14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  <c r="N56" s="11" t="str">
        <f>IF(Tabela1[[#This Row],[Auto Renewal]]="Não","Cancelada","Ativa")</f>
        <v>Ativa</v>
      </c>
    </row>
    <row r="57" spans="1:14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  <c r="N57" s="11" t="str">
        <f>IF(Tabela1[[#This Row],[Auto Renewal]]="Não","Cancelada","Ativa")</f>
        <v>Ativa</v>
      </c>
    </row>
    <row r="58" spans="1:14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  <c r="N58" s="11" t="str">
        <f>IF(Tabela1[[#This Row],[Auto Renewal]]="Não","Cancelada","Ativa")</f>
        <v>Ativa</v>
      </c>
    </row>
    <row r="59" spans="1:14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  <c r="N59" s="11" t="str">
        <f>IF(Tabela1[[#This Row],[Auto Renewal]]="Não","Cancelada","Ativa")</f>
        <v>Ativa</v>
      </c>
    </row>
    <row r="60" spans="1:14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  <c r="N60" s="11" t="str">
        <f>IF(Tabela1[[#This Row],[Auto Renewal]]="Não","Cancelada","Ativa")</f>
        <v>Ativa</v>
      </c>
    </row>
    <row r="61" spans="1:14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  <c r="N61" s="11" t="str">
        <f>IF(Tabela1[[#This Row],[Auto Renewal]]="Não","Cancelada","Ativa")</f>
        <v>Ativa</v>
      </c>
    </row>
    <row r="62" spans="1:14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  <c r="N62" s="11" t="str">
        <f>IF(Tabela1[[#This Row],[Auto Renewal]]="Não","Cancelada","Ativa")</f>
        <v>Ativa</v>
      </c>
    </row>
    <row r="63" spans="1:14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  <c r="N63" s="11" t="str">
        <f>IF(Tabela1[[#This Row],[Auto Renewal]]="Não","Cancelada","Ativa")</f>
        <v>Ativa</v>
      </c>
    </row>
    <row r="64" spans="1:14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  <c r="N64" s="11" t="str">
        <f>IF(Tabela1[[#This Row],[Auto Renewal]]="Não","Cancelada","Ativa")</f>
        <v>Ativa</v>
      </c>
    </row>
    <row r="65" spans="1:14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  <c r="N65" s="11" t="str">
        <f>IF(Tabela1[[#This Row],[Auto Renewal]]="Não","Cancelada","Ativa")</f>
        <v>Ativa</v>
      </c>
    </row>
    <row r="66" spans="1:14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  <c r="N66" s="11" t="str">
        <f>IF(Tabela1[[#This Row],[Auto Renewal]]="Não","Cancelada","Ativa")</f>
        <v>Ativa</v>
      </c>
    </row>
    <row r="67" spans="1:14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  <c r="N67" s="11" t="str">
        <f>IF(Tabela1[[#This Row],[Auto Renewal]]="Não","Cancelada","Ativa")</f>
        <v>Ativa</v>
      </c>
    </row>
    <row r="68" spans="1:14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  <c r="N68" s="11" t="str">
        <f>IF(Tabela1[[#This Row],[Auto Renewal]]="Não","Cancelada","Ativa")</f>
        <v>Ativa</v>
      </c>
    </row>
    <row r="69" spans="1:14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  <c r="N69" s="11" t="str">
        <f>IF(Tabela1[[#This Row],[Auto Renewal]]="Não","Cancelada","Ativa")</f>
        <v>Ativa</v>
      </c>
    </row>
    <row r="70" spans="1:14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  <c r="N70" s="11" t="str">
        <f>IF(Tabela1[[#This Row],[Auto Renewal]]="Não","Cancelada","Ativa")</f>
        <v>Ativa</v>
      </c>
    </row>
    <row r="71" spans="1:14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  <c r="N71" s="11" t="str">
        <f>IF(Tabela1[[#This Row],[Auto Renewal]]="Não","Cancelada","Ativa")</f>
        <v>Ativa</v>
      </c>
    </row>
    <row r="72" spans="1:14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  <c r="N72" s="11" t="str">
        <f>IF(Tabela1[[#This Row],[Auto Renewal]]="Não","Cancelada","Ativa")</f>
        <v>Ativa</v>
      </c>
    </row>
    <row r="73" spans="1:14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  <c r="N73" s="11" t="str">
        <f>IF(Tabela1[[#This Row],[Auto Renewal]]="Não","Cancelada","Ativa")</f>
        <v>Ativa</v>
      </c>
    </row>
    <row r="74" spans="1:14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  <c r="N74" s="11" t="str">
        <f>IF(Tabela1[[#This Row],[Auto Renewal]]="Não","Cancelada","Ativa")</f>
        <v>Ativa</v>
      </c>
    </row>
    <row r="75" spans="1:14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  <c r="N75" s="11" t="str">
        <f>IF(Tabela1[[#This Row],[Auto Renewal]]="Não","Cancelada","Ativa")</f>
        <v>Ativa</v>
      </c>
    </row>
    <row r="76" spans="1:14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  <c r="N76" s="11" t="str">
        <f>IF(Tabela1[[#This Row],[Auto Renewal]]="Não","Cancelada","Ativa")</f>
        <v>Ativa</v>
      </c>
    </row>
    <row r="77" spans="1:14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  <c r="N77" s="11" t="str">
        <f>IF(Tabela1[[#This Row],[Auto Renewal]]="Não","Cancelada","Ativa")</f>
        <v>Ativa</v>
      </c>
    </row>
    <row r="78" spans="1:14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  <c r="N78" s="11" t="str">
        <f>IF(Tabela1[[#This Row],[Auto Renewal]]="Não","Cancelada","Ativa")</f>
        <v>Ativa</v>
      </c>
    </row>
    <row r="79" spans="1:14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  <c r="N79" s="11" t="str">
        <f>IF(Tabela1[[#This Row],[Auto Renewal]]="Não","Cancelada","Ativa")</f>
        <v>Ativa</v>
      </c>
    </row>
    <row r="80" spans="1:14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  <c r="N80" s="11" t="str">
        <f>IF(Tabela1[[#This Row],[Auto Renewal]]="Não","Cancelada","Ativa")</f>
        <v>Ativa</v>
      </c>
    </row>
    <row r="81" spans="1:14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  <c r="N81" s="11" t="str">
        <f>IF(Tabela1[[#This Row],[Auto Renewal]]="Não","Cancelada","Ativa")</f>
        <v>Ativa</v>
      </c>
    </row>
    <row r="82" spans="1:14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  <c r="N82" s="11" t="str">
        <f>IF(Tabela1[[#This Row],[Auto Renewal]]="Não","Cancelada","Ativa")</f>
        <v>Ativa</v>
      </c>
    </row>
    <row r="83" spans="1:14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  <c r="N83" s="11" t="str">
        <f>IF(Tabela1[[#This Row],[Auto Renewal]]="Não","Cancelada","Ativa")</f>
        <v>Ativa</v>
      </c>
    </row>
    <row r="84" spans="1:14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  <c r="N84" s="11" t="str">
        <f>IF(Tabela1[[#This Row],[Auto Renewal]]="Não","Cancelada","Ativa")</f>
        <v>Ativa</v>
      </c>
    </row>
    <row r="85" spans="1:14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  <c r="N85" s="11" t="str">
        <f>IF(Tabela1[[#This Row],[Auto Renewal]]="Não","Cancelada","Ativa")</f>
        <v>Ativa</v>
      </c>
    </row>
    <row r="86" spans="1:14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  <c r="N86" s="11" t="str">
        <f>IF(Tabela1[[#This Row],[Auto Renewal]]="Não","Cancelada","Ativa")</f>
        <v>Ativa</v>
      </c>
    </row>
    <row r="87" spans="1:14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  <c r="N87" s="11" t="str">
        <f>IF(Tabela1[[#This Row],[Auto Renewal]]="Não","Cancelada","Ativa")</f>
        <v>Ativa</v>
      </c>
    </row>
    <row r="88" spans="1:14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  <c r="N88" s="11" t="str">
        <f>IF(Tabela1[[#This Row],[Auto Renewal]]="Não","Cancelada","Ativa")</f>
        <v>Ativa</v>
      </c>
    </row>
    <row r="89" spans="1:14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  <c r="N89" s="11" t="str">
        <f>IF(Tabela1[[#This Row],[Auto Renewal]]="Não","Cancelada","Ativa")</f>
        <v>Ativa</v>
      </c>
    </row>
    <row r="90" spans="1:14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  <c r="N90" s="11" t="str">
        <f>IF(Tabela1[[#This Row],[Auto Renewal]]="Não","Cancelada","Ativa")</f>
        <v>Ativa</v>
      </c>
    </row>
    <row r="91" spans="1:14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  <c r="N91" s="11" t="str">
        <f>IF(Tabela1[[#This Row],[Auto Renewal]]="Não","Cancelada","Ativa")</f>
        <v>Ativa</v>
      </c>
    </row>
    <row r="92" spans="1:14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  <c r="N92" s="11" t="str">
        <f>IF(Tabela1[[#This Row],[Auto Renewal]]="Não","Cancelada","Ativa")</f>
        <v>Ativa</v>
      </c>
    </row>
    <row r="93" spans="1:14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  <c r="N93" s="11" t="str">
        <f>IF(Tabela1[[#This Row],[Auto Renewal]]="Não","Cancelada","Ativa")</f>
        <v>Ativa</v>
      </c>
    </row>
    <row r="94" spans="1:14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  <c r="N94" s="11" t="str">
        <f>IF(Tabela1[[#This Row],[Auto Renewal]]="Não","Cancelada","Ativa")</f>
        <v>Ativa</v>
      </c>
    </row>
    <row r="95" spans="1:14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  <c r="N95" s="11" t="str">
        <f>IF(Tabela1[[#This Row],[Auto Renewal]]="Não","Cancelada","Ativa")</f>
        <v>Ativa</v>
      </c>
    </row>
    <row r="96" spans="1:14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  <c r="N96" s="11" t="str">
        <f>IF(Tabela1[[#This Row],[Auto Renewal]]="Não","Cancelada","Ativa")</f>
        <v>Ativa</v>
      </c>
    </row>
    <row r="97" spans="1:14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  <c r="N97" s="11" t="str">
        <f>IF(Tabela1[[#This Row],[Auto Renewal]]="Não","Cancelada","Ativa")</f>
        <v>Ativa</v>
      </c>
    </row>
    <row r="98" spans="1:14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  <c r="N98" s="11" t="str">
        <f>IF(Tabela1[[#This Row],[Auto Renewal]]="Não","Cancelada","Ativa")</f>
        <v>Ativa</v>
      </c>
    </row>
    <row r="99" spans="1:14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  <c r="N99" s="11" t="str">
        <f>IF(Tabela1[[#This Row],[Auto Renewal]]="Não","Cancelada","Ativa")</f>
        <v>Ativa</v>
      </c>
    </row>
    <row r="100" spans="1:14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  <c r="N100" s="11" t="str">
        <f>IF(Tabela1[[#This Row],[Auto Renewal]]="Não","Cancelada","Ativa")</f>
        <v>Ativa</v>
      </c>
    </row>
    <row r="101" spans="1:14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  <c r="N101" s="11" t="str">
        <f>IF(Tabela1[[#This Row],[Auto Renewal]]="Não","Cancelada","Ativa")</f>
        <v>Ativa</v>
      </c>
    </row>
    <row r="102" spans="1:14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  <c r="N102" s="11" t="str">
        <f>IF(Tabela1[[#This Row],[Auto Renewal]]="Não","Cancelada","Ativa")</f>
        <v>Ativa</v>
      </c>
    </row>
    <row r="103" spans="1:14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  <c r="N103" s="11" t="str">
        <f>IF(Tabela1[[#This Row],[Auto Renewal]]="Não","Cancelada","Ativa")</f>
        <v>Ativa</v>
      </c>
    </row>
    <row r="104" spans="1:14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  <c r="N104" s="11" t="str">
        <f>IF(Tabela1[[#This Row],[Auto Renewal]]="Não","Cancelada","Ativa")</f>
        <v>Ativa</v>
      </c>
    </row>
    <row r="105" spans="1:14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  <c r="N105" s="11" t="str">
        <f>IF(Tabela1[[#This Row],[Auto Renewal]]="Não","Cancelada","Ativa")</f>
        <v>Ativa</v>
      </c>
    </row>
    <row r="106" spans="1:14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  <c r="N106" s="11" t="str">
        <f>IF(Tabela1[[#This Row],[Auto Renewal]]="Não","Cancelada","Ativa")</f>
        <v>Ativa</v>
      </c>
    </row>
    <row r="107" spans="1:14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  <c r="N107" s="11" t="str">
        <f>IF(Tabela1[[#This Row],[Auto Renewal]]="Não","Cancelada","Ativa")</f>
        <v>Ativa</v>
      </c>
    </row>
    <row r="108" spans="1:14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  <c r="N108" s="11" t="str">
        <f>IF(Tabela1[[#This Row],[Auto Renewal]]="Não","Cancelada","Ativa")</f>
        <v>Ativa</v>
      </c>
    </row>
    <row r="109" spans="1:14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  <c r="N109" s="11" t="str">
        <f>IF(Tabela1[[#This Row],[Auto Renewal]]="Não","Cancelada","Ativa")</f>
        <v>Ativa</v>
      </c>
    </row>
    <row r="110" spans="1:14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  <c r="N110" s="11" t="str">
        <f>IF(Tabela1[[#This Row],[Auto Renewal]]="Não","Cancelada","Ativa")</f>
        <v>Ativa</v>
      </c>
    </row>
    <row r="111" spans="1:14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  <c r="N111" s="11" t="str">
        <f>IF(Tabela1[[#This Row],[Auto Renewal]]="Não","Cancelada","Ativa")</f>
        <v>Ativa</v>
      </c>
    </row>
    <row r="112" spans="1:14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  <c r="N112" s="11" t="str">
        <f>IF(Tabela1[[#This Row],[Auto Renewal]]="Não","Cancelada","Ativa")</f>
        <v>Ativa</v>
      </c>
    </row>
    <row r="113" spans="1:14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  <c r="N113" s="11" t="str">
        <f>IF(Tabela1[[#This Row],[Auto Renewal]]="Não","Cancelada","Ativa")</f>
        <v>Ativa</v>
      </c>
    </row>
    <row r="114" spans="1:14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  <c r="N114" s="11" t="str">
        <f>IF(Tabela1[[#This Row],[Auto Renewal]]="Não","Cancelada","Ativa")</f>
        <v>Ativa</v>
      </c>
    </row>
    <row r="115" spans="1:14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  <c r="N115" s="11" t="str">
        <f>IF(Tabela1[[#This Row],[Auto Renewal]]="Não","Cancelada","Ativa")</f>
        <v>Ativa</v>
      </c>
    </row>
    <row r="116" spans="1:14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  <c r="N116" s="11" t="str">
        <f>IF(Tabela1[[#This Row],[Auto Renewal]]="Não","Cancelada","Ativa")</f>
        <v>Ativa</v>
      </c>
    </row>
    <row r="117" spans="1:14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  <c r="N117" s="11" t="str">
        <f>IF(Tabela1[[#This Row],[Auto Renewal]]="Não","Cancelada","Ativa")</f>
        <v>Ativa</v>
      </c>
    </row>
    <row r="118" spans="1:14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  <c r="N118" s="11" t="str">
        <f>IF(Tabela1[[#This Row],[Auto Renewal]]="Não","Cancelada","Ativa")</f>
        <v>Ativa</v>
      </c>
    </row>
    <row r="119" spans="1:14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  <c r="N119" s="11" t="str">
        <f>IF(Tabela1[[#This Row],[Auto Renewal]]="Não","Cancelada","Ativa")</f>
        <v>Ativa</v>
      </c>
    </row>
    <row r="120" spans="1:14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  <c r="N120" s="11" t="str">
        <f>IF(Tabela1[[#This Row],[Auto Renewal]]="Não","Cancelada","Ativa")</f>
        <v>Ativa</v>
      </c>
    </row>
    <row r="121" spans="1:14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  <c r="N121" s="11" t="str">
        <f>IF(Tabela1[[#This Row],[Auto Renewal]]="Não","Cancelada","Ativa")</f>
        <v>Ativa</v>
      </c>
    </row>
    <row r="122" spans="1:14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  <c r="N122" s="11" t="str">
        <f>IF(Tabela1[[#This Row],[Auto Renewal]]="Não","Cancelada","Ativa")</f>
        <v>Ativa</v>
      </c>
    </row>
    <row r="123" spans="1:14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  <c r="N123" s="11" t="str">
        <f>IF(Tabela1[[#This Row],[Auto Renewal]]="Não","Cancelada","Ativa")</f>
        <v>Ativa</v>
      </c>
    </row>
    <row r="124" spans="1:14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  <c r="N124" s="11" t="str">
        <f>IF(Tabela1[[#This Row],[Auto Renewal]]="Não","Cancelada","Ativa")</f>
        <v>Ativa</v>
      </c>
    </row>
    <row r="125" spans="1:14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  <c r="N125" s="11" t="str">
        <f>IF(Tabela1[[#This Row],[Auto Renewal]]="Não","Cancelada","Ativa")</f>
        <v>Ativa</v>
      </c>
    </row>
    <row r="126" spans="1:14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  <c r="N126" s="11" t="str">
        <f>IF(Tabela1[[#This Row],[Auto Renewal]]="Não","Cancelada","Ativa")</f>
        <v>Ativa</v>
      </c>
    </row>
    <row r="127" spans="1:14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  <c r="N127" s="11" t="str">
        <f>IF(Tabela1[[#This Row],[Auto Renewal]]="Não","Cancelada","Ativa")</f>
        <v>Ativa</v>
      </c>
    </row>
    <row r="128" spans="1:14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  <c r="N128" s="11" t="str">
        <f>IF(Tabela1[[#This Row],[Auto Renewal]]="Não","Cancelada","Ativa")</f>
        <v>Ativa</v>
      </c>
    </row>
    <row r="129" spans="1:14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  <c r="N129" s="11" t="str">
        <f>IF(Tabela1[[#This Row],[Auto Renewal]]="Não","Cancelada","Ativa")</f>
        <v>Ativa</v>
      </c>
    </row>
    <row r="130" spans="1:14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  <c r="N130" s="11" t="str">
        <f>IF(Tabela1[[#This Row],[Auto Renewal]]="Não","Cancelada","Ativa")</f>
        <v>Ativa</v>
      </c>
    </row>
    <row r="131" spans="1:14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  <c r="N131" s="11" t="str">
        <f>IF(Tabela1[[#This Row],[Auto Renewal]]="Não","Cancelada","Ativa")</f>
        <v>Ativa</v>
      </c>
    </row>
    <row r="132" spans="1:14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  <c r="N132" s="11" t="str">
        <f>IF(Tabela1[[#This Row],[Auto Renewal]]="Não","Cancelada","Ativa")</f>
        <v>Ativa</v>
      </c>
    </row>
    <row r="133" spans="1:14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  <c r="N133" s="11" t="str">
        <f>IF(Tabela1[[#This Row],[Auto Renewal]]="Não","Cancelada","Ativa")</f>
        <v>Ativa</v>
      </c>
    </row>
    <row r="134" spans="1:14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  <c r="N134" s="11" t="str">
        <f>IF(Tabela1[[#This Row],[Auto Renewal]]="Não","Cancelada","Ativa")</f>
        <v>Ativa</v>
      </c>
    </row>
    <row r="135" spans="1:14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  <c r="N135" s="11" t="str">
        <f>IF(Tabela1[[#This Row],[Auto Renewal]]="Não","Cancelada","Ativa")</f>
        <v>Ativa</v>
      </c>
    </row>
    <row r="136" spans="1:14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  <c r="N136" s="11" t="str">
        <f>IF(Tabela1[[#This Row],[Auto Renewal]]="Não","Cancelada","Ativa")</f>
        <v>Ativa</v>
      </c>
    </row>
    <row r="137" spans="1:14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  <c r="N137" s="11" t="str">
        <f>IF(Tabela1[[#This Row],[Auto Renewal]]="Não","Cancelada","Ativa")</f>
        <v>Ativa</v>
      </c>
    </row>
    <row r="138" spans="1:14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  <c r="N138" s="11" t="str">
        <f>IF(Tabela1[[#This Row],[Auto Renewal]]="Não","Cancelada","Ativa")</f>
        <v>Ativa</v>
      </c>
    </row>
    <row r="139" spans="1:14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  <c r="N139" s="11" t="str">
        <f>IF(Tabela1[[#This Row],[Auto Renewal]]="Não","Cancelada","Ativa")</f>
        <v>Ativa</v>
      </c>
    </row>
    <row r="140" spans="1:14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  <c r="N140" s="11" t="str">
        <f>IF(Tabela1[[#This Row],[Auto Renewal]]="Não","Cancelada","Ativa")</f>
        <v>Ativa</v>
      </c>
    </row>
    <row r="141" spans="1:14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  <c r="N141" s="11" t="str">
        <f>IF(Tabela1[[#This Row],[Auto Renewal]]="Não","Cancelada","Ativa")</f>
        <v>Ativa</v>
      </c>
    </row>
    <row r="142" spans="1:14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  <c r="N142" s="11" t="str">
        <f>IF(Tabela1[[#This Row],[Auto Renewal]]="Não","Cancelada","Ativa")</f>
        <v>Ativa</v>
      </c>
    </row>
    <row r="143" spans="1:14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  <c r="N143" s="11" t="str">
        <f>IF(Tabela1[[#This Row],[Auto Renewal]]="Não","Cancelada","Ativa")</f>
        <v>Ativa</v>
      </c>
    </row>
    <row r="144" spans="1:14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  <c r="N144" s="11" t="str">
        <f>IF(Tabela1[[#This Row],[Auto Renewal]]="Não","Cancelada","Ativa")</f>
        <v>Ativa</v>
      </c>
    </row>
    <row r="145" spans="1:14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  <c r="N145" s="11" t="str">
        <f>IF(Tabela1[[#This Row],[Auto Renewal]]="Não","Cancelada","Ativa")</f>
        <v>Ativa</v>
      </c>
    </row>
    <row r="146" spans="1:14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  <c r="N146" s="11" t="str">
        <f>IF(Tabela1[[#This Row],[Auto Renewal]]="Não","Cancelada","Ativa")</f>
        <v>Ativa</v>
      </c>
    </row>
    <row r="147" spans="1:14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  <c r="N147" s="11" t="str">
        <f>IF(Tabela1[[#This Row],[Auto Renewal]]="Não","Cancelada","Ativa")</f>
        <v>Ativa</v>
      </c>
    </row>
    <row r="148" spans="1:14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  <c r="N148" s="11" t="str">
        <f>IF(Tabela1[[#This Row],[Auto Renewal]]="Não","Cancelada","Ativa")</f>
        <v>Ativa</v>
      </c>
    </row>
    <row r="149" spans="1:14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  <c r="N149" s="11" t="str">
        <f>IF(Tabela1[[#This Row],[Auto Renewal]]="Não","Cancelada","Ativa")</f>
        <v>Ativa</v>
      </c>
    </row>
    <row r="150" spans="1:14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  <c r="N150" s="11" t="str">
        <f>IF(Tabela1[[#This Row],[Auto Renewal]]="Não","Cancelada","Ativa")</f>
        <v>Ativa</v>
      </c>
    </row>
    <row r="151" spans="1:14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  <c r="N151" s="11" t="str">
        <f>IF(Tabela1[[#This Row],[Auto Renewal]]="Não","Cancelada","Ativa")</f>
        <v>Ativa</v>
      </c>
    </row>
    <row r="152" spans="1:14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  <c r="N152" s="11" t="str">
        <f>IF(Tabela1[[#This Row],[Auto Renewal]]="Não","Cancelada","Ativa")</f>
        <v>Ativa</v>
      </c>
    </row>
    <row r="153" spans="1:14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  <c r="N153" s="11" t="str">
        <f>IF(Tabela1[[#This Row],[Auto Renewal]]="Não","Cancelada","Ativa")</f>
        <v>Ativa</v>
      </c>
    </row>
    <row r="154" spans="1:14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  <c r="N154" s="11" t="str">
        <f>IF(Tabela1[[#This Row],[Auto Renewal]]="Não","Cancelada","Ativa")</f>
        <v>Ativa</v>
      </c>
    </row>
    <row r="155" spans="1:14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  <c r="N155" s="11" t="str">
        <f>IF(Tabela1[[#This Row],[Auto Renewal]]="Não","Cancelada","Ativa")</f>
        <v>Ativa</v>
      </c>
    </row>
    <row r="156" spans="1:14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  <c r="N156" s="11" t="str">
        <f>IF(Tabela1[[#This Row],[Auto Renewal]]="Não","Cancelada","Ativa")</f>
        <v>Ativa</v>
      </c>
    </row>
    <row r="157" spans="1:14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  <c r="N157" s="11" t="str">
        <f>IF(Tabela1[[#This Row],[Auto Renewal]]="Não","Cancelada","Ativa")</f>
        <v>Ativa</v>
      </c>
    </row>
    <row r="158" spans="1:14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  <c r="N158" s="11" t="str">
        <f>IF(Tabela1[[#This Row],[Auto Renewal]]="Não","Cancelada","Ativa")</f>
        <v>Ativa</v>
      </c>
    </row>
    <row r="159" spans="1:14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  <c r="N159" s="11" t="str">
        <f>IF(Tabela1[[#This Row],[Auto Renewal]]="Não","Cancelada","Ativa")</f>
        <v>Ativa</v>
      </c>
    </row>
    <row r="160" spans="1:14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  <c r="N160" s="11" t="str">
        <f>IF(Tabela1[[#This Row],[Auto Renewal]]="Não","Cancelada","Ativa")</f>
        <v>Ativa</v>
      </c>
    </row>
    <row r="161" spans="1:14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  <c r="N161" s="11" t="str">
        <f>IF(Tabela1[[#This Row],[Auto Renewal]]="Não","Cancelada","Ativa")</f>
        <v>Ativa</v>
      </c>
    </row>
    <row r="162" spans="1:14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  <c r="N162" s="11" t="str">
        <f>IF(Tabela1[[#This Row],[Auto Renewal]]="Não","Cancelada","Ativa")</f>
        <v>Ativa</v>
      </c>
    </row>
    <row r="163" spans="1:14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  <c r="N163" s="11" t="str">
        <f>IF(Tabela1[[#This Row],[Auto Renewal]]="Não","Cancelada","Ativa")</f>
        <v>Ativa</v>
      </c>
    </row>
    <row r="164" spans="1:14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  <c r="N164" s="11" t="str">
        <f>IF(Tabela1[[#This Row],[Auto Renewal]]="Não","Cancelada","Ativa")</f>
        <v>Ativa</v>
      </c>
    </row>
    <row r="165" spans="1:14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  <c r="N165" s="11" t="str">
        <f>IF(Tabela1[[#This Row],[Auto Renewal]]="Não","Cancelada","Ativa")</f>
        <v>Ativa</v>
      </c>
    </row>
    <row r="166" spans="1:14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  <c r="N166" s="11" t="str">
        <f>IF(Tabela1[[#This Row],[Auto Renewal]]="Não","Cancelada","Ativa")</f>
        <v>Ativa</v>
      </c>
    </row>
    <row r="167" spans="1:14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  <c r="N167" s="11" t="str">
        <f>IF(Tabela1[[#This Row],[Auto Renewal]]="Não","Cancelada","Ativa")</f>
        <v>Ativa</v>
      </c>
    </row>
    <row r="168" spans="1:14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  <c r="N168" s="11" t="str">
        <f>IF(Tabela1[[#This Row],[Auto Renewal]]="Não","Cancelada","Ativa")</f>
        <v>Ativa</v>
      </c>
    </row>
    <row r="169" spans="1:14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  <c r="N169" s="11" t="str">
        <f>IF(Tabela1[[#This Row],[Auto Renewal]]="Não","Cancelada","Ativa")</f>
        <v>Ativa</v>
      </c>
    </row>
    <row r="170" spans="1:14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  <c r="N170" s="11" t="str">
        <f>IF(Tabela1[[#This Row],[Auto Renewal]]="Não","Cancelada","Ativa")</f>
        <v>Ativa</v>
      </c>
    </row>
    <row r="171" spans="1:14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  <c r="N171" s="11" t="str">
        <f>IF(Tabela1[[#This Row],[Auto Renewal]]="Não","Cancelada","Ativa")</f>
        <v>Ativa</v>
      </c>
    </row>
    <row r="172" spans="1:14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  <c r="N172" s="11" t="str">
        <f>IF(Tabela1[[#This Row],[Auto Renewal]]="Não","Cancelada","Ativa")</f>
        <v>Ativa</v>
      </c>
    </row>
    <row r="173" spans="1:14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  <c r="N173" s="11" t="str">
        <f>IF(Tabela1[[#This Row],[Auto Renewal]]="Não","Cancelada","Ativa")</f>
        <v>Ativa</v>
      </c>
    </row>
    <row r="174" spans="1:14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  <c r="N174" s="11" t="str">
        <f>IF(Tabela1[[#This Row],[Auto Renewal]]="Não","Cancelada","Ativa")</f>
        <v>Ativa</v>
      </c>
    </row>
    <row r="175" spans="1:14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  <c r="N175" s="11" t="str">
        <f>IF(Tabela1[[#This Row],[Auto Renewal]]="Não","Cancelada","Ativa")</f>
        <v>Ativa</v>
      </c>
    </row>
    <row r="176" spans="1:14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  <c r="N176" s="11" t="str">
        <f>IF(Tabela1[[#This Row],[Auto Renewal]]="Não","Cancelada","Ativa")</f>
        <v>Ativa</v>
      </c>
    </row>
    <row r="177" spans="1:14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  <c r="N177" s="11" t="str">
        <f>IF(Tabela1[[#This Row],[Auto Renewal]]="Não","Cancelada","Ativa")</f>
        <v>Ativa</v>
      </c>
    </row>
    <row r="178" spans="1:14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  <c r="N178" s="11" t="str">
        <f>IF(Tabela1[[#This Row],[Auto Renewal]]="Não","Cancelada","Ativa")</f>
        <v>Ativa</v>
      </c>
    </row>
    <row r="179" spans="1:14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  <c r="N179" s="11" t="str">
        <f>IF(Tabela1[[#This Row],[Auto Renewal]]="Não","Cancelada","Ativa")</f>
        <v>Ativa</v>
      </c>
    </row>
    <row r="180" spans="1:14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  <c r="N180" s="11" t="str">
        <f>IF(Tabela1[[#This Row],[Auto Renewal]]="Não","Cancelada","Ativa")</f>
        <v>Ativa</v>
      </c>
    </row>
    <row r="181" spans="1:14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  <c r="N181" s="11" t="str">
        <f>IF(Tabela1[[#This Row],[Auto Renewal]]="Não","Cancelada","Ativa")</f>
        <v>Ativa</v>
      </c>
    </row>
    <row r="182" spans="1:14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  <c r="N182" s="11" t="str">
        <f>IF(Tabela1[[#This Row],[Auto Renewal]]="Não","Cancelada","Ativa")</f>
        <v>Ativa</v>
      </c>
    </row>
    <row r="183" spans="1:14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  <c r="N183" s="11" t="str">
        <f>IF(Tabela1[[#This Row],[Auto Renewal]]="Não","Cancelada","Ativa")</f>
        <v>Ativa</v>
      </c>
    </row>
    <row r="184" spans="1:14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  <c r="N184" s="11" t="str">
        <f>IF(Tabela1[[#This Row],[Auto Renewal]]="Não","Cancelada","Ativa")</f>
        <v>Ativa</v>
      </c>
    </row>
    <row r="185" spans="1:14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  <c r="N185" s="11" t="str">
        <f>IF(Tabela1[[#This Row],[Auto Renewal]]="Não","Cancelada","Ativa")</f>
        <v>Ativa</v>
      </c>
    </row>
    <row r="186" spans="1:14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  <c r="N186" s="11" t="str">
        <f>IF(Tabela1[[#This Row],[Auto Renewal]]="Não","Cancelada","Ativa")</f>
        <v>Ativa</v>
      </c>
    </row>
    <row r="187" spans="1:14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  <c r="N187" s="11" t="str">
        <f>IF(Tabela1[[#This Row],[Auto Renewal]]="Não","Cancelada","Ativa")</f>
        <v>Ativa</v>
      </c>
    </row>
    <row r="188" spans="1:14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  <c r="N188" s="11" t="str">
        <f>IF(Tabela1[[#This Row],[Auto Renewal]]="Não","Cancelada","Ativa")</f>
        <v>Ativa</v>
      </c>
    </row>
    <row r="189" spans="1:14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  <c r="N189" s="11" t="str">
        <f>IF(Tabela1[[#This Row],[Auto Renewal]]="Não","Cancelada","Ativa")</f>
        <v>Ativa</v>
      </c>
    </row>
    <row r="190" spans="1:14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  <c r="N190" s="11" t="str">
        <f>IF(Tabela1[[#This Row],[Auto Renewal]]="Não","Cancelada","Ativa")</f>
        <v>Ativa</v>
      </c>
    </row>
    <row r="191" spans="1:14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  <c r="N191" s="11" t="str">
        <f>IF(Tabela1[[#This Row],[Auto Renewal]]="Não","Cancelada","Ativa")</f>
        <v>Ativa</v>
      </c>
    </row>
    <row r="192" spans="1:14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  <c r="N192" s="11" t="str">
        <f>IF(Tabela1[[#This Row],[Auto Renewal]]="Não","Cancelada","Ativa")</f>
        <v>Ativa</v>
      </c>
    </row>
    <row r="193" spans="1:14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  <c r="N193" s="11" t="str">
        <f>IF(Tabela1[[#This Row],[Auto Renewal]]="Não","Cancelada","Ativa")</f>
        <v>Ativa</v>
      </c>
    </row>
    <row r="194" spans="1:14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  <c r="N194" s="11" t="str">
        <f>IF(Tabela1[[#This Row],[Auto Renewal]]="Não","Cancelada","Ativa")</f>
        <v>Ativa</v>
      </c>
    </row>
    <row r="195" spans="1:14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  <c r="N195" s="11" t="str">
        <f>IF(Tabela1[[#This Row],[Auto Renewal]]="Não","Cancelada","Ativa")</f>
        <v>Ativa</v>
      </c>
    </row>
    <row r="196" spans="1:14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  <c r="N196" s="11" t="str">
        <f>IF(Tabela1[[#This Row],[Auto Renewal]]="Não","Cancelada","Ativa")</f>
        <v>Ativa</v>
      </c>
    </row>
    <row r="197" spans="1:14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  <c r="N197" s="11" t="str">
        <f>IF(Tabela1[[#This Row],[Auto Renewal]]="Não","Cancelada","Ativa")</f>
        <v>Ativa</v>
      </c>
    </row>
    <row r="198" spans="1:14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  <c r="N198" s="11" t="str">
        <f>IF(Tabela1[[#This Row],[Auto Renewal]]="Não","Cancelada","Ativa")</f>
        <v>Ativa</v>
      </c>
    </row>
    <row r="199" spans="1:14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  <c r="N199" s="11" t="str">
        <f>IF(Tabela1[[#This Row],[Auto Renewal]]="Não","Cancelada","Ativa")</f>
        <v>Ativa</v>
      </c>
    </row>
    <row r="200" spans="1:14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  <c r="N200" s="11" t="str">
        <f>IF(Tabela1[[#This Row],[Auto Renewal]]="Não","Cancelada","Ativa")</f>
        <v>Ativa</v>
      </c>
    </row>
    <row r="201" spans="1:14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  <c r="N201" s="11" t="str">
        <f>IF(Tabela1[[#This Row],[Auto Renewal]]="Não","Cancelada","Ativa")</f>
        <v>Ativa</v>
      </c>
    </row>
    <row r="202" spans="1:14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  <c r="N202" s="11" t="str">
        <f>IF(Tabela1[[#This Row],[Auto Renewal]]="Não","Cancelada","Ativa")</f>
        <v>Ativa</v>
      </c>
    </row>
    <row r="203" spans="1:14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  <c r="N203" s="11" t="str">
        <f>IF(Tabela1[[#This Row],[Auto Renewal]]="Não","Cancelada","Ativa")</f>
        <v>Ativa</v>
      </c>
    </row>
    <row r="204" spans="1:14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  <c r="N204" s="11" t="str">
        <f>IF(Tabela1[[#This Row],[Auto Renewal]]="Não","Cancelada","Ativa")</f>
        <v>Ativa</v>
      </c>
    </row>
    <row r="205" spans="1:14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  <c r="N205" s="11" t="str">
        <f>IF(Tabela1[[#This Row],[Auto Renewal]]="Não","Cancelada","Ativa")</f>
        <v>Ativa</v>
      </c>
    </row>
    <row r="206" spans="1:14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  <c r="N206" s="11" t="str">
        <f>IF(Tabela1[[#This Row],[Auto Renewal]]="Não","Cancelada","Ativa")</f>
        <v>Ativa</v>
      </c>
    </row>
    <row r="207" spans="1:14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  <c r="N207" s="11" t="str">
        <f>IF(Tabela1[[#This Row],[Auto Renewal]]="Não","Cancelada","Ativa")</f>
        <v>Ativa</v>
      </c>
    </row>
    <row r="208" spans="1:14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  <c r="N208" s="11" t="str">
        <f>IF(Tabela1[[#This Row],[Auto Renewal]]="Não","Cancelada","Ativa")</f>
        <v>Ativa</v>
      </c>
    </row>
    <row r="209" spans="1:14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  <c r="N209" s="11" t="str">
        <f>IF(Tabela1[[#This Row],[Auto Renewal]]="Não","Cancelada","Ativa")</f>
        <v>Ativa</v>
      </c>
    </row>
    <row r="210" spans="1:14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  <c r="N210" s="11" t="str">
        <f>IF(Tabela1[[#This Row],[Auto Renewal]]="Não","Cancelada","Ativa")</f>
        <v>Ativa</v>
      </c>
    </row>
    <row r="211" spans="1:14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  <c r="N211" s="11" t="str">
        <f>IF(Tabela1[[#This Row],[Auto Renewal]]="Não","Cancelada","Ativa")</f>
        <v>Ativa</v>
      </c>
    </row>
    <row r="212" spans="1:14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  <c r="N212" s="11" t="str">
        <f>IF(Tabela1[[#This Row],[Auto Renewal]]="Não","Cancelada","Ativa")</f>
        <v>Ativa</v>
      </c>
    </row>
    <row r="213" spans="1:14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  <c r="N213" s="11" t="str">
        <f>IF(Tabela1[[#This Row],[Auto Renewal]]="Não","Cancelada","Ativa")</f>
        <v>Ativa</v>
      </c>
    </row>
    <row r="214" spans="1:14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  <c r="N214" s="11" t="str">
        <f>IF(Tabela1[[#This Row],[Auto Renewal]]="Não","Cancelada","Ativa")</f>
        <v>Ativa</v>
      </c>
    </row>
    <row r="215" spans="1:14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  <c r="N215" s="11" t="str">
        <f>IF(Tabela1[[#This Row],[Auto Renewal]]="Não","Cancelada","Ativa")</f>
        <v>Ativa</v>
      </c>
    </row>
    <row r="216" spans="1:14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  <c r="N216" s="11" t="str">
        <f>IF(Tabela1[[#This Row],[Auto Renewal]]="Não","Cancelada","Ativa")</f>
        <v>Ativa</v>
      </c>
    </row>
    <row r="217" spans="1:14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  <c r="N217" s="11" t="str">
        <f>IF(Tabela1[[#This Row],[Auto Renewal]]="Não","Cancelada","Ativa")</f>
        <v>Ativa</v>
      </c>
    </row>
    <row r="218" spans="1:14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  <c r="N218" s="11" t="str">
        <f>IF(Tabela1[[#This Row],[Auto Renewal]]="Não","Cancelada","Ativa")</f>
        <v>Ativa</v>
      </c>
    </row>
    <row r="219" spans="1:14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  <c r="N219" s="11" t="str">
        <f>IF(Tabela1[[#This Row],[Auto Renewal]]="Não","Cancelada","Ativa")</f>
        <v>Ativa</v>
      </c>
    </row>
    <row r="220" spans="1:14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  <c r="N220" s="11" t="str">
        <f>IF(Tabela1[[#This Row],[Auto Renewal]]="Não","Cancelada","Ativa")</f>
        <v>Ativa</v>
      </c>
    </row>
    <row r="221" spans="1:14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  <c r="N221" s="11" t="str">
        <f>IF(Tabela1[[#This Row],[Auto Renewal]]="Não","Cancelada","Ativa")</f>
        <v>Ativa</v>
      </c>
    </row>
    <row r="222" spans="1:14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  <c r="N222" s="11" t="str">
        <f>IF(Tabela1[[#This Row],[Auto Renewal]]="Não","Cancelada","Ativa")</f>
        <v>Ativa</v>
      </c>
    </row>
    <row r="223" spans="1:14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  <c r="N223" s="11" t="str">
        <f>IF(Tabela1[[#This Row],[Auto Renewal]]="Não","Cancelada","Ativa")</f>
        <v>Ativa</v>
      </c>
    </row>
    <row r="224" spans="1:14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  <c r="N224" s="11" t="str">
        <f>IF(Tabela1[[#This Row],[Auto Renewal]]="Não","Cancelada","Ativa")</f>
        <v>Ativa</v>
      </c>
    </row>
    <row r="225" spans="1:14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  <c r="N225" s="11" t="str">
        <f>IF(Tabela1[[#This Row],[Auto Renewal]]="Não","Cancelada","Ativa")</f>
        <v>Ativa</v>
      </c>
    </row>
    <row r="226" spans="1:14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  <c r="N226" s="11" t="str">
        <f>IF(Tabela1[[#This Row],[Auto Renewal]]="Não","Cancelada","Ativa")</f>
        <v>Ativa</v>
      </c>
    </row>
    <row r="227" spans="1:14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  <c r="N227" s="11" t="str">
        <f>IF(Tabela1[[#This Row],[Auto Renewal]]="Não","Cancelada","Ativa")</f>
        <v>Ativa</v>
      </c>
    </row>
    <row r="228" spans="1:14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  <c r="N228" s="11" t="str">
        <f>IF(Tabela1[[#This Row],[Auto Renewal]]="Não","Cancelada","Ativa")</f>
        <v>Ativa</v>
      </c>
    </row>
    <row r="229" spans="1:14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  <c r="N229" s="11" t="str">
        <f>IF(Tabela1[[#This Row],[Auto Renewal]]="Não","Cancelada","Ativa")</f>
        <v>Ativa</v>
      </c>
    </row>
    <row r="230" spans="1:14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  <c r="N230" s="11" t="str">
        <f>IF(Tabela1[[#This Row],[Auto Renewal]]="Não","Cancelada","Ativa")</f>
        <v>Ativa</v>
      </c>
    </row>
    <row r="231" spans="1:14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  <c r="N231" s="11" t="str">
        <f>IF(Tabela1[[#This Row],[Auto Renewal]]="Não","Cancelada","Ativa")</f>
        <v>Ativa</v>
      </c>
    </row>
    <row r="232" spans="1:14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  <c r="N232" s="11" t="str">
        <f>IF(Tabela1[[#This Row],[Auto Renewal]]="Não","Cancelada","Ativa")</f>
        <v>Ativa</v>
      </c>
    </row>
    <row r="233" spans="1:14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  <c r="N233" s="11" t="str">
        <f>IF(Tabela1[[#This Row],[Auto Renewal]]="Não","Cancelada","Ativa")</f>
        <v>Ativa</v>
      </c>
    </row>
    <row r="234" spans="1:14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  <c r="N234" s="11" t="str">
        <f>IF(Tabela1[[#This Row],[Auto Renewal]]="Não","Cancelada","Ativa")</f>
        <v>Ativa</v>
      </c>
    </row>
    <row r="235" spans="1:14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  <c r="N235" s="11" t="str">
        <f>IF(Tabela1[[#This Row],[Auto Renewal]]="Não","Cancelada","Ativa")</f>
        <v>Ativa</v>
      </c>
    </row>
    <row r="236" spans="1:14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  <c r="N236" s="11" t="str">
        <f>IF(Tabela1[[#This Row],[Auto Renewal]]="Não","Cancelada","Ativa")</f>
        <v>Ativa</v>
      </c>
    </row>
    <row r="237" spans="1:14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  <c r="N237" s="11" t="str">
        <f>IF(Tabela1[[#This Row],[Auto Renewal]]="Não","Cancelada","Ativa")</f>
        <v>Ativa</v>
      </c>
    </row>
    <row r="238" spans="1:14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  <c r="N238" s="11" t="str">
        <f>IF(Tabela1[[#This Row],[Auto Renewal]]="Não","Cancelada","Ativa")</f>
        <v>Ativa</v>
      </c>
    </row>
    <row r="239" spans="1:14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  <c r="N239" s="11" t="str">
        <f>IF(Tabela1[[#This Row],[Auto Renewal]]="Não","Cancelada","Ativa")</f>
        <v>Ativa</v>
      </c>
    </row>
    <row r="240" spans="1:14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  <c r="N240" s="11" t="str">
        <f>IF(Tabela1[[#This Row],[Auto Renewal]]="Não","Cancelada","Ativa")</f>
        <v>Ativa</v>
      </c>
    </row>
    <row r="241" spans="1:14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  <c r="N241" s="11" t="str">
        <f>IF(Tabela1[[#This Row],[Auto Renewal]]="Não","Cancelada","Ativa")</f>
        <v>Ativa</v>
      </c>
    </row>
    <row r="242" spans="1:14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  <c r="N242" s="11" t="str">
        <f>IF(Tabela1[[#This Row],[Auto Renewal]]="Não","Cancelada","Ativa")</f>
        <v>Ativa</v>
      </c>
    </row>
    <row r="243" spans="1:14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  <c r="N243" s="11" t="str">
        <f>IF(Tabela1[[#This Row],[Auto Renewal]]="Não","Cancelada","Ativa")</f>
        <v>Ativa</v>
      </c>
    </row>
    <row r="244" spans="1:14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  <c r="N244" s="11" t="str">
        <f>IF(Tabela1[[#This Row],[Auto Renewal]]="Não","Cancelada","Ativa")</f>
        <v>Ativa</v>
      </c>
    </row>
    <row r="245" spans="1:14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  <c r="N245" s="11" t="str">
        <f>IF(Tabela1[[#This Row],[Auto Renewal]]="Não","Cancelada","Ativa")</f>
        <v>Ativa</v>
      </c>
    </row>
    <row r="246" spans="1:14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  <c r="N246" s="11" t="str">
        <f>IF(Tabela1[[#This Row],[Auto Renewal]]="Não","Cancelada","Ativa")</f>
        <v>Ativa</v>
      </c>
    </row>
    <row r="247" spans="1:14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  <c r="N247" s="11" t="str">
        <f>IF(Tabela1[[#This Row],[Auto Renewal]]="Não","Cancelada","Ativa")</f>
        <v>Ativa</v>
      </c>
    </row>
    <row r="248" spans="1:14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  <c r="N248" s="11" t="str">
        <f>IF(Tabela1[[#This Row],[Auto Renewal]]="Não","Cancelada","Ativa")</f>
        <v>Ativa</v>
      </c>
    </row>
    <row r="249" spans="1:14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  <c r="N249" s="11" t="str">
        <f>IF(Tabela1[[#This Row],[Auto Renewal]]="Não","Cancelada","Ativa")</f>
        <v>Ativa</v>
      </c>
    </row>
    <row r="250" spans="1:14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  <c r="N250" s="11" t="str">
        <f>IF(Tabela1[[#This Row],[Auto Renewal]]="Não","Cancelada","Ativa")</f>
        <v>Ativa</v>
      </c>
    </row>
    <row r="251" spans="1:14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  <c r="N251" s="11" t="str">
        <f>IF(Tabela1[[#This Row],[Auto Renewal]]="Não","Cancelada","Ativa")</f>
        <v>Ativa</v>
      </c>
    </row>
    <row r="252" spans="1:14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  <c r="N252" s="11" t="str">
        <f>IF(Tabela1[[#This Row],[Auto Renewal]]="Não","Cancelada","Ativa")</f>
        <v>Ativa</v>
      </c>
    </row>
    <row r="253" spans="1:14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  <c r="N253" s="11" t="str">
        <f>IF(Tabela1[[#This Row],[Auto Renewal]]="Não","Cancelada","Ativa")</f>
        <v>Ativa</v>
      </c>
    </row>
    <row r="254" spans="1:14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  <c r="N254" s="11" t="str">
        <f>IF(Tabela1[[#This Row],[Auto Renewal]]="Não","Cancelada","Ativa")</f>
        <v>Ativa</v>
      </c>
    </row>
    <row r="255" spans="1:14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  <c r="N255" s="11" t="str">
        <f>IF(Tabela1[[#This Row],[Auto Renewal]]="Não","Cancelada","Ativa")</f>
        <v>Ativa</v>
      </c>
    </row>
    <row r="256" spans="1:14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  <c r="N256" s="11" t="str">
        <f>IF(Tabela1[[#This Row],[Auto Renewal]]="Não","Cancelada","Ativa")</f>
        <v>Ativa</v>
      </c>
    </row>
    <row r="257" spans="1:14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  <c r="N257" s="11" t="str">
        <f>IF(Tabela1[[#This Row],[Auto Renewal]]="Não","Cancelada","Ativa")</f>
        <v>Ativa</v>
      </c>
    </row>
    <row r="258" spans="1:14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  <c r="N258" s="11" t="str">
        <f>IF(Tabela1[[#This Row],[Auto Renewal]]="Não","Cancelada","Ativa")</f>
        <v>Ativa</v>
      </c>
    </row>
    <row r="259" spans="1:14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  <c r="N259" s="11" t="str">
        <f>IF(Tabela1[[#This Row],[Auto Renewal]]="Não","Cancelada","Ativa")</f>
        <v>Ativa</v>
      </c>
    </row>
    <row r="260" spans="1:14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  <c r="N260" s="11" t="str">
        <f>IF(Tabela1[[#This Row],[Auto Renewal]]="Não","Cancelada","Ativa")</f>
        <v>Ativa</v>
      </c>
    </row>
    <row r="261" spans="1:14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  <c r="N261" s="11" t="str">
        <f>IF(Tabela1[[#This Row],[Auto Renewal]]="Não","Cancelada","Ativa")</f>
        <v>Ativa</v>
      </c>
    </row>
    <row r="262" spans="1:14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  <c r="N262" s="11" t="str">
        <f>IF(Tabela1[[#This Row],[Auto Renewal]]="Não","Cancelada","Ativa")</f>
        <v>Ativa</v>
      </c>
    </row>
    <row r="263" spans="1:14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  <c r="N263" s="11" t="str">
        <f>IF(Tabela1[[#This Row],[Auto Renewal]]="Não","Cancelada","Ativa")</f>
        <v>Ativa</v>
      </c>
    </row>
    <row r="264" spans="1:14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  <c r="N264" s="11" t="str">
        <f>IF(Tabela1[[#This Row],[Auto Renewal]]="Não","Cancelada","Ativa")</f>
        <v>Ativa</v>
      </c>
    </row>
    <row r="265" spans="1:14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  <c r="N265" s="11" t="str">
        <f>IF(Tabela1[[#This Row],[Auto Renewal]]="Não","Cancelada","Ativa")</f>
        <v>Ativa</v>
      </c>
    </row>
    <row r="266" spans="1:14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  <c r="N266" s="11" t="str">
        <f>IF(Tabela1[[#This Row],[Auto Renewal]]="Não","Cancelada","Ativa")</f>
        <v>Ativa</v>
      </c>
    </row>
    <row r="267" spans="1:14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  <c r="N267" s="11" t="str">
        <f>IF(Tabela1[[#This Row],[Auto Renewal]]="Não","Cancelada","Ativa")</f>
        <v>Ativa</v>
      </c>
    </row>
    <row r="268" spans="1:14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  <c r="N268" s="11" t="str">
        <f>IF(Tabela1[[#This Row],[Auto Renewal]]="Não","Cancelada","Ativa")</f>
        <v>Ativa</v>
      </c>
    </row>
    <row r="269" spans="1:14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  <c r="N269" s="11" t="str">
        <f>IF(Tabela1[[#This Row],[Auto Renewal]]="Não","Cancelada","Ativa")</f>
        <v>Ativa</v>
      </c>
    </row>
    <row r="270" spans="1:14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  <c r="N270" s="11" t="str">
        <f>IF(Tabela1[[#This Row],[Auto Renewal]]="Não","Cancelada","Ativa")</f>
        <v>Ativa</v>
      </c>
    </row>
    <row r="271" spans="1:14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  <c r="N271" s="11" t="str">
        <f>IF(Tabela1[[#This Row],[Auto Renewal]]="Não","Cancelada","Ativa")</f>
        <v>Ativa</v>
      </c>
    </row>
    <row r="272" spans="1:14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  <c r="N272" s="11" t="str">
        <f>IF(Tabela1[[#This Row],[Auto Renewal]]="Não","Cancelada","Ativa")</f>
        <v>Ativa</v>
      </c>
    </row>
    <row r="273" spans="1:14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  <c r="N273" s="11" t="str">
        <f>IF(Tabela1[[#This Row],[Auto Renewal]]="Não","Cancelada","Ativa")</f>
        <v>Ativa</v>
      </c>
    </row>
    <row r="274" spans="1:14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  <c r="N274" s="11" t="str">
        <f>IF(Tabela1[[#This Row],[Auto Renewal]]="Não","Cancelada","Ativa")</f>
        <v>Ativa</v>
      </c>
    </row>
    <row r="275" spans="1:14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  <c r="N275" s="11" t="str">
        <f>IF(Tabela1[[#This Row],[Auto Renewal]]="Não","Cancelada","Ativa")</f>
        <v>Ativa</v>
      </c>
    </row>
    <row r="276" spans="1:14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  <c r="N276" s="11" t="str">
        <f>IF(Tabela1[[#This Row],[Auto Renewal]]="Não","Cancelada","Ativa")</f>
        <v>Ativa</v>
      </c>
    </row>
    <row r="277" spans="1:14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  <c r="N277" s="11" t="str">
        <f>IF(Tabela1[[#This Row],[Auto Renewal]]="Não","Cancelada","Ativa")</f>
        <v>Ativa</v>
      </c>
    </row>
    <row r="278" spans="1:14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  <c r="N278" s="11" t="str">
        <f>IF(Tabela1[[#This Row],[Auto Renewal]]="Não","Cancelada","Ativa")</f>
        <v>Ativa</v>
      </c>
    </row>
    <row r="279" spans="1:14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  <c r="N279" s="11" t="str">
        <f>IF(Tabela1[[#This Row],[Auto Renewal]]="Não","Cancelada","Ativa")</f>
        <v>Ativa</v>
      </c>
    </row>
    <row r="280" spans="1:14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  <c r="N280" s="11" t="str">
        <f>IF(Tabela1[[#This Row],[Auto Renewal]]="Não","Cancelada","Ativa")</f>
        <v>Ativa</v>
      </c>
    </row>
    <row r="281" spans="1:14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  <c r="N281" s="11" t="str">
        <f>IF(Tabela1[[#This Row],[Auto Renewal]]="Não","Cancelada","Ativa")</f>
        <v>Ativa</v>
      </c>
    </row>
    <row r="282" spans="1:14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  <c r="N282" s="11" t="str">
        <f>IF(Tabela1[[#This Row],[Auto Renewal]]="Não","Cancelada","Ativa")</f>
        <v>Ativa</v>
      </c>
    </row>
    <row r="283" spans="1:14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  <c r="N283" s="11" t="str">
        <f>IF(Tabela1[[#This Row],[Auto Renewal]]="Não","Cancelada","Ativa")</f>
        <v>Ativa</v>
      </c>
    </row>
    <row r="284" spans="1:14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  <c r="N284" s="11" t="str">
        <f>IF(Tabela1[[#This Row],[Auto Renewal]]="Não","Cancelada","Ativa")</f>
        <v>Ativa</v>
      </c>
    </row>
    <row r="285" spans="1:14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  <c r="N285" s="11" t="str">
        <f>IF(Tabela1[[#This Row],[Auto Renewal]]="Não","Cancelada","Ativa")</f>
        <v>Ativa</v>
      </c>
    </row>
    <row r="286" spans="1:14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  <c r="N286" s="11" t="str">
        <f>IF(Tabela1[[#This Row],[Auto Renewal]]="Não","Cancelada","Ativa")</f>
        <v>Ativa</v>
      </c>
    </row>
    <row r="287" spans="1:14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  <c r="N287" s="11" t="str">
        <f>IF(Tabela1[[#This Row],[Auto Renewal]]="Não","Cancelada","Ativa")</f>
        <v>Ativa</v>
      </c>
    </row>
    <row r="288" spans="1:14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  <c r="N288" s="11" t="str">
        <f>IF(Tabela1[[#This Row],[Auto Renewal]]="Não","Cancelada","Ativa")</f>
        <v>Ativa</v>
      </c>
    </row>
    <row r="289" spans="1:14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  <c r="N289" s="11" t="str">
        <f>IF(Tabela1[[#This Row],[Auto Renewal]]="Não","Cancelada","Ativa")</f>
        <v>Ativa</v>
      </c>
    </row>
    <row r="290" spans="1:14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  <c r="N290" s="11" t="str">
        <f>IF(Tabela1[[#This Row],[Auto Renewal]]="Não","Cancelada","Ativa")</f>
        <v>Ativa</v>
      </c>
    </row>
    <row r="291" spans="1:14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  <c r="N291" s="11" t="str">
        <f>IF(Tabela1[[#This Row],[Auto Renewal]]="Não","Cancelada","Ativa")</f>
        <v>Ativa</v>
      </c>
    </row>
    <row r="292" spans="1:14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  <c r="N292" s="11" t="str">
        <f>IF(Tabela1[[#This Row],[Auto Renewal]]="Não","Cancelada","Ativa")</f>
        <v>Ativa</v>
      </c>
    </row>
    <row r="293" spans="1:14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  <c r="N293" s="11" t="str">
        <f>IF(Tabela1[[#This Row],[Auto Renewal]]="Não","Cancelada","Ativa")</f>
        <v>Ativa</v>
      </c>
    </row>
    <row r="294" spans="1:14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  <c r="N294" s="11" t="str">
        <f>IF(Tabela1[[#This Row],[Auto Renewal]]="Não","Cancelada","Ativa")</f>
        <v>Ativa</v>
      </c>
    </row>
    <row r="295" spans="1:14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  <c r="N295" s="11" t="str">
        <f>IF(Tabela1[[#This Row],[Auto Renewal]]="Não","Cancelada","Ativa")</f>
        <v>Ativa</v>
      </c>
    </row>
    <row r="296" spans="1:14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  <c r="N296" s="11" t="str">
        <f>IF(Tabela1[[#This Row],[Auto Renewal]]="Não","Cancelada","Ativa")</f>
        <v>Ativa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G73"/>
  <sheetViews>
    <sheetView showGridLines="0" topLeftCell="A10" workbookViewId="0">
      <selection activeCell="L2" sqref="L2"/>
    </sheetView>
  </sheetViews>
  <sheetFormatPr defaultRowHeight="14.4"/>
  <cols>
    <col min="3" max="3" width="16.77734375" bestFit="1" customWidth="1"/>
    <col min="4" max="4" width="32.21875" bestFit="1" customWidth="1"/>
    <col min="5" max="5" width="7.5546875" bestFit="1" customWidth="1"/>
    <col min="6" max="6" width="8.77734375" bestFit="1" customWidth="1"/>
    <col min="7" max="7" width="10" bestFit="1" customWidth="1"/>
    <col min="8" max="9" width="5" bestFit="1" customWidth="1"/>
    <col min="10" max="10" width="9.21875" customWidth="1"/>
    <col min="11" max="298" width="5" bestFit="1" customWidth="1"/>
    <col min="299" max="299" width="10" bestFit="1" customWidth="1"/>
  </cols>
  <sheetData>
    <row r="4" spans="2:4">
      <c r="B4" t="s">
        <v>313</v>
      </c>
    </row>
    <row r="5" spans="2:4">
      <c r="B5" t="s">
        <v>314</v>
      </c>
    </row>
    <row r="6" spans="2:4">
      <c r="C6" s="13" t="s">
        <v>16</v>
      </c>
      <c r="D6" t="s">
        <v>27</v>
      </c>
    </row>
    <row r="8" spans="2:4">
      <c r="C8" s="13" t="s">
        <v>317</v>
      </c>
      <c r="D8" t="s">
        <v>320</v>
      </c>
    </row>
    <row r="9" spans="2:4">
      <c r="C9" s="12" t="s">
        <v>23</v>
      </c>
      <c r="D9" s="15">
        <v>806</v>
      </c>
    </row>
    <row r="10" spans="2:4">
      <c r="C10" s="12" t="s">
        <v>19</v>
      </c>
      <c r="D10" s="15">
        <v>1502</v>
      </c>
    </row>
    <row r="11" spans="2:4">
      <c r="B11" s="12"/>
      <c r="C11" s="12" t="s">
        <v>318</v>
      </c>
      <c r="D11" s="15">
        <v>2308</v>
      </c>
    </row>
    <row r="14" spans="2:4">
      <c r="B14" t="s">
        <v>315</v>
      </c>
    </row>
    <row r="16" spans="2:4">
      <c r="C16" s="13" t="s">
        <v>16</v>
      </c>
      <c r="D16" t="s">
        <v>27</v>
      </c>
    </row>
    <row r="18" spans="2:7">
      <c r="C18" s="13" t="s">
        <v>317</v>
      </c>
      <c r="D18" t="s">
        <v>321</v>
      </c>
    </row>
    <row r="19" spans="2:7">
      <c r="C19" s="12" t="s">
        <v>22</v>
      </c>
      <c r="D19" s="14">
        <v>0</v>
      </c>
    </row>
    <row r="20" spans="2:7">
      <c r="C20" s="12" t="s">
        <v>26</v>
      </c>
      <c r="D20" s="14">
        <v>0</v>
      </c>
    </row>
    <row r="21" spans="2:7">
      <c r="C21" s="12" t="s">
        <v>18</v>
      </c>
      <c r="D21" s="14">
        <v>990</v>
      </c>
    </row>
    <row r="22" spans="2:7">
      <c r="C22" s="12" t="s">
        <v>318</v>
      </c>
      <c r="D22" s="14">
        <v>990</v>
      </c>
      <c r="G22" s="33">
        <f>GETPIVOTDATA("EA Play Season Pass
Price",$C$18)</f>
        <v>990</v>
      </c>
    </row>
    <row r="24" spans="2:7">
      <c r="B24" t="s">
        <v>316</v>
      </c>
    </row>
    <row r="26" spans="2:7">
      <c r="C26" s="13" t="s">
        <v>16</v>
      </c>
      <c r="D26" t="s">
        <v>27</v>
      </c>
    </row>
    <row r="28" spans="2:7">
      <c r="C28" s="13" t="s">
        <v>317</v>
      </c>
      <c r="D28" t="s">
        <v>322</v>
      </c>
    </row>
    <row r="29" spans="2:7">
      <c r="C29" s="12" t="s">
        <v>22</v>
      </c>
      <c r="D29" s="15">
        <v>0</v>
      </c>
    </row>
    <row r="30" spans="2:7">
      <c r="C30" s="12" t="s">
        <v>26</v>
      </c>
      <c r="D30" s="15">
        <v>480</v>
      </c>
    </row>
    <row r="31" spans="2:7">
      <c r="C31" s="12" t="s">
        <v>18</v>
      </c>
      <c r="D31" s="15">
        <v>660</v>
      </c>
    </row>
    <row r="32" spans="2:7">
      <c r="C32" s="12" t="s">
        <v>318</v>
      </c>
      <c r="D32" s="15">
        <v>1140</v>
      </c>
      <c r="G32" s="33">
        <f>GETPIVOTDATA("Minecraft Season Pass Price",$C$28)</f>
        <v>1140</v>
      </c>
    </row>
    <row r="35" spans="2:7">
      <c r="B35" t="s">
        <v>326</v>
      </c>
    </row>
    <row r="36" spans="2:7">
      <c r="C36" s="13" t="s">
        <v>325</v>
      </c>
      <c r="D36" t="s">
        <v>319</v>
      </c>
    </row>
    <row r="38" spans="2:7">
      <c r="C38" s="13" t="s">
        <v>317</v>
      </c>
      <c r="D38" t="s">
        <v>323</v>
      </c>
    </row>
    <row r="39" spans="2:7">
      <c r="C39" s="12" t="s">
        <v>24</v>
      </c>
      <c r="D39" s="14">
        <v>71</v>
      </c>
    </row>
    <row r="40" spans="2:7">
      <c r="C40" s="12" t="s">
        <v>20</v>
      </c>
      <c r="D40" s="14">
        <v>139</v>
      </c>
    </row>
    <row r="41" spans="2:7">
      <c r="C41" s="12" t="s">
        <v>27</v>
      </c>
      <c r="D41" s="14">
        <v>85</v>
      </c>
    </row>
    <row r="42" spans="2:7">
      <c r="C42" s="12" t="s">
        <v>318</v>
      </c>
      <c r="D42" s="14">
        <v>295</v>
      </c>
      <c r="G42">
        <f>GETPIVOTDATA("Subscriber ID",$C$38)</f>
        <v>295</v>
      </c>
    </row>
    <row r="55" spans="3:7">
      <c r="C55" t="s">
        <v>340</v>
      </c>
    </row>
    <row r="57" spans="3:7">
      <c r="C57" s="18" t="s">
        <v>13</v>
      </c>
      <c r="D57" s="16" t="s">
        <v>18</v>
      </c>
    </row>
    <row r="58" spans="3:7">
      <c r="C58" s="18" t="s">
        <v>15</v>
      </c>
      <c r="D58" s="16" t="s">
        <v>19</v>
      </c>
    </row>
    <row r="60" spans="3:7">
      <c r="C60" s="18" t="s">
        <v>327</v>
      </c>
      <c r="D60" s="18" t="s">
        <v>339</v>
      </c>
      <c r="E60" s="16"/>
      <c r="F60" s="16"/>
      <c r="G60" s="16"/>
    </row>
    <row r="61" spans="3:7">
      <c r="C61" s="18" t="s">
        <v>317</v>
      </c>
      <c r="D61" s="16" t="s">
        <v>24</v>
      </c>
      <c r="E61" s="16" t="s">
        <v>20</v>
      </c>
      <c r="F61" s="16" t="s">
        <v>27</v>
      </c>
      <c r="G61" s="16" t="s">
        <v>318</v>
      </c>
    </row>
    <row r="62" spans="3:7">
      <c r="C62" s="16" t="s">
        <v>328</v>
      </c>
      <c r="D62" s="17"/>
      <c r="E62" s="17">
        <v>60</v>
      </c>
      <c r="F62" s="17"/>
      <c r="G62" s="17">
        <v>60</v>
      </c>
    </row>
    <row r="63" spans="3:7">
      <c r="C63" s="16" t="s">
        <v>329</v>
      </c>
      <c r="D63" s="17">
        <v>45</v>
      </c>
      <c r="E63" s="17"/>
      <c r="F63" s="17">
        <v>57</v>
      </c>
      <c r="G63" s="17">
        <v>52.2</v>
      </c>
    </row>
    <row r="64" spans="3:7">
      <c r="C64" s="16" t="s">
        <v>330</v>
      </c>
      <c r="D64" s="17">
        <v>61</v>
      </c>
      <c r="E64" s="17">
        <v>50</v>
      </c>
      <c r="F64" s="17">
        <v>51.5</v>
      </c>
      <c r="G64" s="17">
        <v>55</v>
      </c>
    </row>
    <row r="65" spans="3:7">
      <c r="C65" s="16" t="s">
        <v>331</v>
      </c>
      <c r="D65" s="17"/>
      <c r="E65" s="17">
        <v>55.666666666666664</v>
      </c>
      <c r="F65" s="17">
        <v>51.5</v>
      </c>
      <c r="G65" s="17">
        <v>54</v>
      </c>
    </row>
    <row r="66" spans="3:7">
      <c r="C66" s="16" t="s">
        <v>332</v>
      </c>
      <c r="D66" s="17">
        <v>60</v>
      </c>
      <c r="E66" s="17">
        <v>54</v>
      </c>
      <c r="F66" s="17">
        <v>51.5</v>
      </c>
      <c r="G66" s="17">
        <v>54.2</v>
      </c>
    </row>
    <row r="67" spans="3:7">
      <c r="C67" s="16" t="s">
        <v>333</v>
      </c>
      <c r="D67" s="17">
        <v>61</v>
      </c>
      <c r="E67" s="17">
        <v>50</v>
      </c>
      <c r="F67" s="17">
        <v>58</v>
      </c>
      <c r="G67" s="17">
        <v>57.6</v>
      </c>
    </row>
    <row r="68" spans="3:7">
      <c r="C68" s="16" t="s">
        <v>334</v>
      </c>
      <c r="D68" s="17">
        <v>60.666666666666664</v>
      </c>
      <c r="E68" s="17">
        <v>50</v>
      </c>
      <c r="F68" s="17">
        <v>58</v>
      </c>
      <c r="G68" s="17">
        <v>58</v>
      </c>
    </row>
    <row r="69" spans="3:7">
      <c r="C69" s="16" t="s">
        <v>335</v>
      </c>
      <c r="D69" s="17">
        <v>61</v>
      </c>
      <c r="E69" s="17">
        <v>50</v>
      </c>
      <c r="F69" s="17">
        <v>58</v>
      </c>
      <c r="G69" s="17">
        <v>57.6</v>
      </c>
    </row>
    <row r="70" spans="3:7">
      <c r="C70" s="16" t="s">
        <v>336</v>
      </c>
      <c r="D70" s="17">
        <v>61</v>
      </c>
      <c r="E70" s="17"/>
      <c r="F70" s="17">
        <v>58</v>
      </c>
      <c r="G70" s="17">
        <v>59.2</v>
      </c>
    </row>
    <row r="71" spans="3:7">
      <c r="C71" s="16" t="s">
        <v>337</v>
      </c>
      <c r="D71" s="17">
        <v>61.333333333333336</v>
      </c>
      <c r="E71" s="17">
        <v>50</v>
      </c>
      <c r="F71" s="17">
        <v>58</v>
      </c>
      <c r="G71" s="17">
        <v>58.4</v>
      </c>
    </row>
    <row r="72" spans="3:7">
      <c r="C72" s="16" t="s">
        <v>338</v>
      </c>
      <c r="D72" s="17">
        <v>60</v>
      </c>
      <c r="E72" s="17"/>
      <c r="F72" s="17">
        <v>58</v>
      </c>
      <c r="G72" s="17">
        <v>59</v>
      </c>
    </row>
    <row r="73" spans="3:7">
      <c r="C73" s="16" t="s">
        <v>318</v>
      </c>
      <c r="D73" s="17">
        <v>59.111111111111114</v>
      </c>
      <c r="E73" s="17">
        <v>53.18181818181818</v>
      </c>
      <c r="F73" s="17">
        <v>55.789473684210527</v>
      </c>
      <c r="G73" s="17">
        <v>56.4375</v>
      </c>
    </row>
  </sheetData>
  <pageMargins left="0.511811024" right="0.511811024" top="0.78740157499999996" bottom="0.78740157499999996" header="0.31496062000000002" footer="0.31496062000000002"/>
  <pageSetup paperSize="9" orientation="portrait" r:id="rId6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A239"/>
  <sheetViews>
    <sheetView showGridLines="0" showRowColHeaders="0" tabSelected="1" zoomScale="80" zoomScaleNormal="80" workbookViewId="0">
      <selection activeCell="R2" sqref="R2"/>
    </sheetView>
  </sheetViews>
  <sheetFormatPr defaultRowHeight="14.4"/>
  <cols>
    <col min="1" max="1" width="25.21875" style="19" customWidth="1"/>
    <col min="2" max="2" width="9" style="20" customWidth="1"/>
    <col min="12" max="12" width="6.5546875" customWidth="1"/>
  </cols>
  <sheetData>
    <row r="1" spans="1:27">
      <c r="C1" s="20"/>
      <c r="D1" s="20"/>
      <c r="E1" s="20"/>
      <c r="F1" s="20"/>
      <c r="H1" s="20"/>
      <c r="I1" s="20"/>
      <c r="J1" s="20"/>
      <c r="K1" s="20"/>
      <c r="L1" s="20"/>
      <c r="M1" s="20"/>
      <c r="N1" s="20"/>
    </row>
    <row r="2" spans="1:27" ht="44.4" customHeight="1" thickBot="1">
      <c r="C2" s="29" t="s">
        <v>344</v>
      </c>
      <c r="D2" s="30"/>
      <c r="E2" s="30"/>
      <c r="F2" s="30"/>
      <c r="G2" s="29"/>
      <c r="H2" s="30"/>
      <c r="I2" s="30"/>
      <c r="J2" s="30"/>
      <c r="K2" s="30"/>
      <c r="L2" s="30"/>
      <c r="M2" s="30"/>
      <c r="N2" s="31"/>
      <c r="O2" s="20"/>
      <c r="P2" s="20"/>
      <c r="Q2" s="20"/>
      <c r="R2" s="20"/>
    </row>
    <row r="3" spans="1:27" ht="19.8" customHeight="1" thickTop="1">
      <c r="C3" s="27"/>
      <c r="D3" s="28"/>
      <c r="E3" s="28"/>
      <c r="F3" s="28"/>
      <c r="G3" s="27"/>
      <c r="H3" s="28"/>
      <c r="I3" s="28"/>
      <c r="J3" s="28"/>
      <c r="K3" s="28"/>
      <c r="L3" s="28"/>
      <c r="M3" s="28"/>
      <c r="N3" s="20"/>
      <c r="O3" s="20"/>
      <c r="P3" s="20"/>
      <c r="Q3" s="20"/>
      <c r="R3" s="20"/>
    </row>
    <row r="4" spans="1:27" ht="23.4" customHeight="1">
      <c r="A4" s="32" t="s">
        <v>341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3.8" customHeight="1">
      <c r="A5" s="21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9.6" customHeight="1">
      <c r="A6" s="22" t="s">
        <v>342</v>
      </c>
      <c r="B6" s="25"/>
      <c r="C6" s="2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3.8" customHeight="1">
      <c r="A7" s="23" t="s">
        <v>343</v>
      </c>
      <c r="B7" s="25"/>
      <c r="C7" s="25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1.4" customHeight="1">
      <c r="A8" s="22" t="s">
        <v>345</v>
      </c>
      <c r="B8" s="25"/>
      <c r="C8" s="25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9" customHeight="1">
      <c r="A9" s="24"/>
      <c r="B9" s="25"/>
      <c r="C9" s="25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>
      <c r="B10" s="25"/>
      <c r="C10" s="25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>
      <c r="B11" s="25"/>
      <c r="C11" s="25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>
      <c r="B12" s="25"/>
      <c r="C12" s="25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>
      <c r="B13" s="25"/>
      <c r="C13" s="25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>
      <c r="B14" s="25"/>
      <c r="C14" s="25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>
      <c r="B15" s="25"/>
      <c r="C15" s="25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>
      <c r="B16" s="25"/>
      <c r="C16" s="25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2:27">
      <c r="B17" s="25"/>
      <c r="C17" s="25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2:27">
      <c r="B18" s="25"/>
      <c r="C18" s="25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2:27">
      <c r="B19" s="25"/>
      <c r="C19" s="25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2:27">
      <c r="B20" s="25"/>
      <c r="C20" s="25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2:27">
      <c r="B21" s="25"/>
      <c r="C21" s="25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2:27">
      <c r="B22" s="25"/>
      <c r="C22" s="25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27">
      <c r="B23" s="25"/>
      <c r="C23" s="2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2:27">
      <c r="B24" s="25"/>
      <c r="C24" s="25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27">
      <c r="B25" s="25"/>
      <c r="C25" s="25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27">
      <c r="B26" s="25"/>
      <c r="C26" s="25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2:27">
      <c r="B27" s="25"/>
      <c r="C27" s="25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2:27">
      <c r="B28" s="25"/>
      <c r="C28" s="25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2:27">
      <c r="B29" s="25"/>
      <c r="C29" s="25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2:27">
      <c r="B30" s="25"/>
      <c r="C30" s="2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2:27">
      <c r="B31" s="25"/>
      <c r="C31" s="25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2:27">
      <c r="B32" s="25"/>
      <c r="C32" s="25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2:27">
      <c r="B33" s="25"/>
      <c r="C33" s="2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2:27">
      <c r="B34" s="25"/>
      <c r="C34" s="25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2:27">
      <c r="B35" s="25"/>
      <c r="C35" s="25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2:27">
      <c r="B36" s="25"/>
      <c r="C36" s="25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2:27">
      <c r="B37" s="25"/>
      <c r="C37" s="25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2:27">
      <c r="B38" s="25"/>
      <c r="C38" s="25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2:27">
      <c r="B39" s="25"/>
      <c r="C39" s="25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2:27">
      <c r="B40" s="25"/>
      <c r="C40" s="25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2:27">
      <c r="B41" s="25"/>
      <c r="C41" s="25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2:27">
      <c r="B42" s="25"/>
      <c r="C42" s="25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2:27">
      <c r="B43" s="25"/>
      <c r="C43" s="25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2:27">
      <c r="B44" s="25"/>
      <c r="C44" s="25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2:27">
      <c r="B45" s="25"/>
      <c r="C45" s="25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2:27">
      <c r="B46" s="25"/>
      <c r="C46" s="25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2:27">
      <c r="B47" s="25"/>
      <c r="C47" s="25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2:27">
      <c r="B48" s="25"/>
      <c r="C48" s="25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2:27">
      <c r="B49" s="25"/>
      <c r="C49" s="25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>
      <c r="B50" s="25"/>
      <c r="C50" s="25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2:27">
      <c r="B51" s="25"/>
      <c r="C51" s="25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2:27">
      <c r="B52" s="25"/>
      <c r="C52" s="25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2:27">
      <c r="B53" s="25"/>
      <c r="C53" s="25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2:27">
      <c r="B54" s="25"/>
      <c r="C54" s="25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2:27">
      <c r="B55" s="25"/>
      <c r="C55" s="25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2:27">
      <c r="B56" s="25"/>
      <c r="C56" s="25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2:27">
      <c r="B57" s="25"/>
      <c r="C57" s="25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2:27">
      <c r="B58" s="25"/>
      <c r="C58" s="25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2:27">
      <c r="B59" s="25"/>
      <c r="C59" s="25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2:27">
      <c r="B60" s="25"/>
      <c r="C60" s="25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2:27">
      <c r="B61" s="25"/>
      <c r="C61" s="25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2:27">
      <c r="B62" s="25"/>
      <c r="C62" s="25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2:27">
      <c r="B63" s="25"/>
      <c r="C63" s="25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2:27">
      <c r="B64" s="25"/>
      <c r="C64" s="25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2:27">
      <c r="B65" s="25"/>
      <c r="C65" s="25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2:27">
      <c r="B66" s="2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2:27">
      <c r="B67" s="25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2:27">
      <c r="B68" s="25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2:27">
      <c r="B69" s="25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2:27">
      <c r="B70" s="25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2:27">
      <c r="B71" s="25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2:27">
      <c r="B72" s="25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2:27">
      <c r="B73" s="25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2:27">
      <c r="B74" s="25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2:27">
      <c r="B75" s="25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2:27">
      <c r="B76" s="25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2:27">
      <c r="B77" s="25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2:27">
      <c r="B78" s="25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2:27">
      <c r="B79" s="25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2:27">
      <c r="B80" s="25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2:27">
      <c r="B81" s="25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2:27">
      <c r="B82" s="25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2:27">
      <c r="B83" s="25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2:27">
      <c r="B84" s="25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2:27">
      <c r="B85" s="25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2:27">
      <c r="B86" s="25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2:27">
      <c r="B87" s="25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2:27">
      <c r="B88" s="25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2:27">
      <c r="B89" s="2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2:27">
      <c r="B90" s="2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2:27">
      <c r="B91" s="25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2:27">
      <c r="B92" s="25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2:27">
      <c r="B93" s="25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2:27">
      <c r="B94" s="25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2:27">
      <c r="B95" s="25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2:27">
      <c r="B96" s="25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2:27">
      <c r="B97" s="25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2:27">
      <c r="B98" s="25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2:27">
      <c r="B99" s="25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2:27">
      <c r="B100" s="25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2:27">
      <c r="B101" s="25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2:27">
      <c r="B102" s="25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2:27">
      <c r="B103" s="25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2:27">
      <c r="B104" s="25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2:27">
      <c r="B105" s="25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2:27">
      <c r="B106" s="25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2:27">
      <c r="B107" s="25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2:27">
      <c r="B108" s="25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2:27">
      <c r="B109" s="25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2:27">
      <c r="B110" s="25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2:27">
      <c r="B111" s="2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2:27">
      <c r="B112" s="25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2:27">
      <c r="B113" s="25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2:27">
      <c r="B114" s="25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2:27">
      <c r="B115" s="25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2:27">
      <c r="B116" s="25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2:27">
      <c r="B117" s="25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2:27">
      <c r="B118" s="25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2:27">
      <c r="B119" s="25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2:27">
      <c r="B120" s="25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2:27">
      <c r="B121" s="25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2:27">
      <c r="B122" s="25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2:27">
      <c r="B123" s="25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2:27">
      <c r="B124" s="25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2:27">
      <c r="B125" s="25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2:27">
      <c r="B126" s="25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2:27">
      <c r="B127" s="25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2:27">
      <c r="B128" s="25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2:27">
      <c r="B129" s="25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2:27">
      <c r="B130" s="25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2:27">
      <c r="B131" s="25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2:27">
      <c r="B132" s="25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2:27">
      <c r="B133" s="25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2:27">
      <c r="B134" s="25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2:27">
      <c r="B135" s="25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2:27">
      <c r="B136" s="25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2:27">
      <c r="B137" s="25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2:27">
      <c r="B138" s="25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2:27">
      <c r="B139" s="25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2:27">
      <c r="B140" s="25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2:27">
      <c r="B141" s="25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2:27">
      <c r="B142" s="25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2:27">
      <c r="B143" s="25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2:27">
      <c r="B144" s="25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2:27">
      <c r="B145" s="25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2:27">
      <c r="B146" s="25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2:27">
      <c r="B147" s="25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2:27">
      <c r="B148" s="25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2:27">
      <c r="B149" s="25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2:27">
      <c r="B150" s="25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2:27">
      <c r="B151" s="25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2:27">
      <c r="B152" s="25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2:27">
      <c r="B153" s="25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2:27">
      <c r="B154" s="25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2:27">
      <c r="B155" s="25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2:27">
      <c r="B156" s="25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2:27">
      <c r="B157" s="25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2:27">
      <c r="B158" s="25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2:27">
      <c r="B159" s="25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2:27">
      <c r="B160" s="25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2:27">
      <c r="B161" s="25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2:27">
      <c r="B162" s="25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2:27">
      <c r="B163" s="25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2:27">
      <c r="B164" s="25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2:27">
      <c r="B165" s="25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2:27">
      <c r="B166" s="25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2:27">
      <c r="B167" s="25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2:27">
      <c r="B168" s="25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2:27">
      <c r="B169" s="25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2:27">
      <c r="B170" s="25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2:27">
      <c r="B171" s="25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2:27">
      <c r="B172" s="25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2:27">
      <c r="B173" s="25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2:27">
      <c r="B174" s="25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2:27">
      <c r="B175" s="25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2:27">
      <c r="B176" s="25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2:27">
      <c r="B177" s="25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2:27">
      <c r="B178" s="25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2:27">
      <c r="B179" s="25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2:27">
      <c r="B180" s="25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2:27">
      <c r="B181" s="25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2:27">
      <c r="B182" s="25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2:27">
      <c r="B183" s="25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2:27">
      <c r="B184" s="25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2:27">
      <c r="B185" s="25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2:27">
      <c r="B186" s="25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2:27">
      <c r="B187" s="25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2:27">
      <c r="B188" s="25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2:27">
      <c r="B189" s="25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2:27">
      <c r="B190" s="25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2:27">
      <c r="B191" s="25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2:27">
      <c r="B192" s="25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2:27">
      <c r="B193" s="25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2:27">
      <c r="B194" s="25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2:27">
      <c r="B195" s="25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2:27">
      <c r="B196" s="25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2:27">
      <c r="B197" s="25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2:27">
      <c r="B198" s="25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2:27">
      <c r="B199" s="25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2:27">
      <c r="B200" s="25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2:27">
      <c r="B201" s="25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2:27">
      <c r="B202" s="25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2:27">
      <c r="B203" s="25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2:27">
      <c r="B204" s="25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2:27">
      <c r="B205" s="25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2:27">
      <c r="B206" s="25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2:27">
      <c r="B207" s="25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2:27">
      <c r="B208" s="25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2:27">
      <c r="B209" s="25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2:27">
      <c r="B210" s="25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2:27">
      <c r="B211" s="25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2:27">
      <c r="B212" s="25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2:27">
      <c r="B213" s="25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2:27">
      <c r="B214" s="25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2:27">
      <c r="B215" s="25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2:27">
      <c r="B216" s="25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2:27">
      <c r="B217" s="25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2:27">
      <c r="B218" s="25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2:27">
      <c r="B219" s="25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2:27">
      <c r="B220" s="25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2:27">
      <c r="B221" s="25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2:27">
      <c r="B222" s="25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2:27">
      <c r="B223" s="25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2:27">
      <c r="B224" s="25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2:27">
      <c r="B225" s="25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2:27">
      <c r="B226" s="25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2:27">
      <c r="B227" s="25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2:27">
      <c r="B228" s="25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2:27">
      <c r="B229" s="25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2:27">
      <c r="B230" s="25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2:27">
      <c r="B231" s="25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2:27">
      <c r="B232" s="25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2:27">
      <c r="B233" s="25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2:27">
      <c r="B234" s="25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2:27">
      <c r="B235" s="25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2:27">
      <c r="B236" s="25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2:27">
      <c r="B237" s="25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2:27">
      <c r="B238" s="25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2:27">
      <c r="B239" s="25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joana cristina</cp:lastModifiedBy>
  <cp:lastPrinted>2025-11-14T21:32:34Z</cp:lastPrinted>
  <dcterms:created xsi:type="dcterms:W3CDTF">2024-12-19T13:13:10Z</dcterms:created>
  <dcterms:modified xsi:type="dcterms:W3CDTF">2025-11-15T16:05:08Z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